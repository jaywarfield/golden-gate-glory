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d.docs.live.net/749b7e59da399b03/Desktop/IBM SkillsBuild AI Experiential Learning Lab  US 2026 Fall Cohort/Golden_Gate_Glory_Veteran_Career_Readiness_Agent/"/>
    </mc:Choice>
  </mc:AlternateContent>
  <xr:revisionPtr revIDLastSave="56" documentId="8_{0B956515-8001-45C1-A808-15AF7673AD51}" xr6:coauthVersionLast="47" xr6:coauthVersionMax="47" xr10:uidLastSave="{E55D2C47-04BF-4C21-8117-FF863A5C018C}"/>
  <bookViews>
    <workbookView xWindow="22932" yWindow="-108" windowWidth="23256" windowHeight="12456" firstSheet="16" activeTab="16" xr2:uid="{66889FF0-B688-4DE3-8BEA-7BE5BB4B39A5}"/>
  </bookViews>
  <sheets>
    <sheet name="Start Here" sheetId="1" r:id="rId1"/>
    <sheet name="AI_Agent_Manifest" sheetId="22" r:id="rId2"/>
    <sheet name="Dashboard" sheetId="8" r:id="rId3"/>
    <sheet name="Form" sheetId="2" r:id="rId4"/>
    <sheet name="Generator" sheetId="4" r:id="rId5"/>
    <sheet name="Skills Gap" sheetId="9" r:id="rId6"/>
    <sheet name="Records" sheetId="3" r:id="rId7"/>
    <sheet name="Service Dictionary" sheetId="5" r:id="rId8"/>
    <sheet name="Military_Record_Map" sheetId="21" r:id="rId9"/>
    <sheet name="Civilian_Language_Map" sheetId="18" r:id="rId10"/>
    <sheet name="Skill_Dictionary" sheetId="20" r:id="rId11"/>
    <sheet name="Career Paths" sheetId="10" r:id="rId12"/>
    <sheet name="Role_Architecture" sheetId="13" r:id="rId13"/>
    <sheet name="Persona_Routing_Matrix" sheetId="14" r:id="rId14"/>
    <sheet name="Fellowship_Tracking" sheetId="15" r:id="rId15"/>
    <sheet name="Corporate_Requisition_Map" sheetId="16" r:id="rId16"/>
    <sheet name="Privacy_Guardrails" sheetId="17" r:id="rId17"/>
    <sheet name="Source_Register" sheetId="19" r:id="rId18"/>
    <sheet name="Prompt Library" sheetId="6" r:id="rId19"/>
    <sheet name="Audit Log" sheetId="12" r:id="rId20"/>
    <sheet name="Setup &amp; VBA" sheetId="7" r:id="rId21"/>
    <sheet name="Analytics Data" sheetId="11" state="hidden" r:id="rId22"/>
  </sheets>
  <definedNames>
    <definedName name="BranchSourceTypes">_xlfn.ANCHORARRAY('Analytics Data'!$P$2)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T3" i="15" l="1"/>
  <c r="S3" i="15"/>
  <c r="R3" i="15"/>
  <c r="Q3" i="15"/>
  <c r="P3" i="15"/>
  <c r="O3" i="15"/>
  <c r="O2" i="15"/>
  <c r="P2" i="15" s="1"/>
  <c r="Q2" i="15"/>
  <c r="R2" i="15"/>
  <c r="S2" i="15"/>
  <c r="T2" i="15"/>
  <c r="A22" i="4" a="1"/>
  <c r="A22" i="4" s="1"/>
  <c r="G5" i="8"/>
  <c r="S7" i="11"/>
  <c r="S6" i="11"/>
  <c r="S5" i="11"/>
  <c r="S4" i="11"/>
  <c r="S3" i="11"/>
  <c r="S2" i="11"/>
  <c r="B11" i="2"/>
  <c r="P2" i="11" a="1"/>
  <c r="P2" i="11" s="1"/>
  <c r="D5" i="8"/>
  <c r="A5" i="8"/>
  <c r="N11" i="11"/>
  <c r="N10" i="11"/>
  <c r="N9" i="11"/>
  <c r="N8" i="11"/>
  <c r="N7" i="11"/>
  <c r="N6" i="11"/>
  <c r="N5" i="11"/>
  <c r="N4" i="11"/>
  <c r="N3" i="11"/>
  <c r="N2" i="11"/>
  <c r="K3" i="11"/>
  <c r="K2" i="11"/>
  <c r="H4" i="11"/>
  <c r="H3" i="11"/>
  <c r="H2" i="11"/>
  <c r="E5" i="11"/>
  <c r="E4" i="11"/>
  <c r="E3" i="11"/>
  <c r="E2" i="11"/>
  <c r="B8" i="11"/>
  <c r="B7" i="11"/>
  <c r="B6" i="11"/>
  <c r="B5" i="11"/>
  <c r="B4" i="11"/>
  <c r="B3" i="11"/>
  <c r="B2" i="11"/>
  <c r="D20" i="9" a="1"/>
  <c r="D20" i="9" s="1"/>
  <c r="A20" i="9" a="1"/>
  <c r="A20" i="9" s="1"/>
  <c r="B7" i="9"/>
  <c r="B10" i="4"/>
  <c r="B7" i="4"/>
  <c r="B7" i="2"/>
  <c r="F20" i="9" l="1" a="1"/>
  <c r="F20" i="9" s="1"/>
  <c r="C20" i="9" a="1"/>
  <c r="C20" i="9" s="1"/>
  <c r="B20" i="9" l="1" a="1"/>
  <c r="B20" i="9" l="1"/>
  <c r="H21" i="9" s="1"/>
  <c r="H20" i="9"/>
  <c r="H22" i="9" s="1"/>
  <c r="E20" i="9" l="1" a="1"/>
  <c r="E20" i="9" s="1"/>
  <c r="A9" i="8"/>
  <c r="J5" i="8"/>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<sst xmlns="http://schemas.openxmlformats.org/spreadsheetml/2006/main" count="4175" uniqueCount="1658">
  <si>
    <t>SERVICE-TO-CIVILIAN DOCUMENT WORKBENCH</t>
  </si>
  <si>
    <t>PII-free consolidation, translation, and tailored output preparation for transitioning service members</t>
  </si>
  <si>
    <t>START HERE</t>
  </si>
  <si>
    <t>WORKBOOK CONTENTS</t>
  </si>
  <si>
    <t>Sheet</t>
  </si>
  <si>
    <t>Purpose</t>
  </si>
  <si>
    <t>Form</t>
  </si>
  <si>
    <t>Records</t>
  </si>
  <si>
    <t>Generator</t>
  </si>
  <si>
    <t>Prompt Library</t>
  </si>
  <si>
    <t>Setup &amp; VBA</t>
  </si>
  <si>
    <t>PII SAFETY RULES</t>
  </si>
  <si>
    <t>Do not enter names, DoD ID numbers, phone numbers, email addresses, home addresses, birth dates, medical details, classified information, operationally sensitive details, exact unit identifiers, or exact deployment locations. Use generic role, organization-size, region, and date-range descriptions. Mark every record Clear only after reviewing it.</t>
  </si>
  <si>
    <t>Workflow: 1) Enter a record on Form → 2) save it to Records → 3) mark Include? = Yes → 4) paste target requirements on Generator → 5) copy the generated prompt into Copilot.</t>
  </si>
  <si>
    <t>ACCOMPLISHMENT INTAKE FORM</t>
  </si>
  <si>
    <t>RECORD CONTROL</t>
  </si>
  <si>
    <t>Existing Record ID (for update)</t>
  </si>
  <si>
    <t>Suggested New Record ID</t>
  </si>
  <si>
    <t>Include in Output?</t>
  </si>
  <si>
    <t>Yes</t>
  </si>
  <si>
    <t>Record Type</t>
  </si>
  <si>
    <t>Evaluation Bullet</t>
  </si>
  <si>
    <t>Date / Period</t>
  </si>
  <si>
    <t>Source Type</t>
  </si>
  <si>
    <t>NCOER / OER</t>
  </si>
  <si>
    <t>Include?</t>
  </si>
  <si>
    <t>Quantifiable Metrics</t>
  </si>
  <si>
    <t>Target Keywords</t>
  </si>
  <si>
    <t>PII Status</t>
  </si>
  <si>
    <t>Notes</t>
  </si>
  <si>
    <t>EX-001</t>
  </si>
  <si>
    <t>FY2025</t>
  </si>
  <si>
    <t>Led a 12-person logistics team supporting time-sensitive operations across multiple sites.</t>
  </si>
  <si>
    <t>Improved on-time delivery from 82% to 96%; managed $4.2M in equipment.</t>
  </si>
  <si>
    <t>NCOIC; sustainment</t>
  </si>
  <si>
    <t>Operations leadership; supply-chain coordination; asset accountability</t>
  </si>
  <si>
    <t>operations; logistics; team leadership; process improvement</t>
  </si>
  <si>
    <t>Clear</t>
  </si>
  <si>
    <t>EX-002</t>
  </si>
  <si>
    <t>Award</t>
  </si>
  <si>
    <t>FY2024</t>
  </si>
  <si>
    <t>Award Citation</t>
  </si>
  <si>
    <t>Redesigned the maintenance scheduling process to prioritize critical assets and remove workflow bottlenecks.</t>
  </si>
  <si>
    <t>Reduced backlog 38% in 90 days; increased readiness by 17 percentage points.</t>
  </si>
  <si>
    <t>operational readiness; motor pool</t>
  </si>
  <si>
    <t>Process improvement; maintenance operations; resource prioritization</t>
  </si>
  <si>
    <t>continuous improvement; maintenance; analytics; readiness</t>
  </si>
  <si>
    <t>EX-003</t>
  </si>
  <si>
    <t>No</t>
  </si>
  <si>
    <t>Service School</t>
  </si>
  <si>
    <t>FY2023</t>
  </si>
  <si>
    <t>Academic Evaluation</t>
  </si>
  <si>
    <t>Completed advanced leadership and planning coursework and applied structured decision-making to complex scenarios.</t>
  </si>
  <si>
    <t>Graduated in top 15%; led a 6-person planning team.</t>
  </si>
  <si>
    <t>MDMP; PME</t>
  </si>
  <si>
    <t>Strategic planning; decision analysis; team facilitation</t>
  </si>
  <si>
    <t>project planning; stakeholder alignment; decision support</t>
  </si>
  <si>
    <t>Needs Review</t>
  </si>
  <si>
    <t>ACCOMPLISHMENT DETAILS</t>
  </si>
  <si>
    <t>Paste PII-Free Military Bullet</t>
  </si>
  <si>
    <t>Civilian Skills Translation</t>
  </si>
  <si>
    <t>PII Review Status</t>
  </si>
  <si>
    <t>RECORD ACTIONS</t>
  </si>
  <si>
    <t>ADD + RECORD</t>
  </si>
  <si>
    <t>SAVE RECORD</t>
  </si>
  <si>
    <t>UPDATE RECORD</t>
  </si>
  <si>
    <t>These are macro-ready visual controls. For true one-click operation, save a copy as .xlsm and follow Setup &amp; VBA. Without macros, copy the completed values into the next row of Records; all Generator formulas still work.</t>
  </si>
  <si>
    <t>Output Type</t>
  </si>
  <si>
    <t>Category</t>
  </si>
  <si>
    <t>Employment</t>
  </si>
  <si>
    <t>Federal Resume Content</t>
  </si>
  <si>
    <t>Create detailed USAJOBS-style experience content with duties, scope, outcomes, hours/context placeholders, and keyword alignment. Do not invent grade, dates, or credentials.</t>
  </si>
  <si>
    <t>1–2 pages of content</t>
  </si>
  <si>
    <t>Cover Letter</t>
  </si>
  <si>
    <t>Application Questions</t>
  </si>
  <si>
    <t>Draft direct STAR-based responses to common application questions using only the selected evidence and target requirements.</t>
  </si>
  <si>
    <t>150–300 words each</t>
  </si>
  <si>
    <t>Statement of Purpose</t>
  </si>
  <si>
    <t>Education</t>
  </si>
  <si>
    <t>Explain preparation, goals, growth, and program fit using selected accomplishments while keeping the narrative reflective and evidence-based.</t>
  </si>
  <si>
    <t>500–750 words</t>
  </si>
  <si>
    <t>Scholarship Essay</t>
  </si>
  <si>
    <t>Develop a compelling story of service, leadership, impact, transition goals, and future contribution. Respect the pasted prompt and word limit.</t>
  </si>
  <si>
    <t>Educational Request Letter</t>
  </si>
  <si>
    <t>Draft a formal request or supporting letter for admissions, credit evaluation, enrollment, or program consideration using only supplied facts.</t>
  </si>
  <si>
    <t>1 page</t>
  </si>
  <si>
    <t>Professional Bio</t>
  </si>
  <si>
    <t>Official Business</t>
  </si>
  <si>
    <t>Create a concise third-person professional biography focused on leadership, expertise, measurable impact, and current goals, with no PII.</t>
  </si>
  <si>
    <t>100–200 words</t>
  </si>
  <si>
    <t>Memorandum / Official Letter</t>
  </si>
  <si>
    <t>Draft a formal, structured memorandum or official-business letter with a clear purpose, factual background, requested action, and professional close.</t>
  </si>
  <si>
    <t>Recommendation Support Package</t>
  </si>
  <si>
    <t>Create a fact sheet and draft talking points that a recommender can independently verify and adapt; do not impersonate or fabricate an endorsement.</t>
  </si>
  <si>
    <t>NCOIC</t>
  </si>
  <si>
    <t>Team lead / operations supervisor</t>
  </si>
  <si>
    <t>Leadership</t>
  </si>
  <si>
    <t>Pair with team size, mission scope, and measurable outcomes.</t>
  </si>
  <si>
    <t>OIC</t>
  </si>
  <si>
    <t>Program lead / responsible manager</t>
  </si>
  <si>
    <t>Describe decision authority and resources managed.</t>
  </si>
  <si>
    <t>Performance evaluation</t>
  </si>
  <si>
    <t>MOS</t>
  </si>
  <si>
    <t>Occupational specialty / functional expertise</t>
  </si>
  <si>
    <t>Qualifications</t>
  </si>
  <si>
    <t>MDMP</t>
  </si>
  <si>
    <t>Planning</t>
  </si>
  <si>
    <t>Operations</t>
  </si>
  <si>
    <t>Training</t>
  </si>
  <si>
    <t>TAILORED OUTPUT GENERATOR</t>
  </si>
  <si>
    <t>OUTPUT SETTINGS</t>
  </si>
  <si>
    <t>Audience / Organization</t>
  </si>
  <si>
    <t>Tone</t>
  </si>
  <si>
    <t>Word or Page Limit</t>
  </si>
  <si>
    <t>Professional</t>
  </si>
  <si>
    <t>TARGET OPPORTUNITY / REQUEST</t>
  </si>
  <si>
    <t>COPILOT-READY PROMPT</t>
  </si>
  <si>
    <t>Review before use: confirm every claim, remove remaining jargon or sensitive detail, and adapt the final draft to the receiving organization’s instructions.</t>
  </si>
  <si>
    <t>AddRecord</t>
  </si>
  <si>
    <t>SaveRecord</t>
  </si>
  <si>
    <t>UpdateRecord</t>
  </si>
  <si>
    <t>Career Path</t>
  </si>
  <si>
    <t>Job Role Family</t>
  </si>
  <si>
    <t>Job URL / Reference</t>
  </si>
  <si>
    <t>Logistics</t>
  </si>
  <si>
    <t>Supply Chain / Logistics Management</t>
  </si>
  <si>
    <t>Operations / Maintenance Management</t>
  </si>
  <si>
    <t>Project Management</t>
  </si>
  <si>
    <t>Program / Project Management</t>
  </si>
  <si>
    <t>Job URL / Role Family</t>
  </si>
  <si>
    <t>Select evidence, paste a job or application reference, and create a PII-screened Copilot-ready prompt</t>
  </si>
  <si>
    <t>Priority</t>
  </si>
  <si>
    <t>Project planning</t>
  </si>
  <si>
    <t>project plan; schedule; milestone</t>
  </si>
  <si>
    <t>High</t>
  </si>
  <si>
    <t>Show scope, timeline, stakeholders, and delivery result.</t>
  </si>
  <si>
    <t>Stakeholder management</t>
  </si>
  <si>
    <t>stakeholder; cross-functional; coordination</t>
  </si>
  <si>
    <t>Identify stakeholder groups and alignment achieved.</t>
  </si>
  <si>
    <t>Risk management</t>
  </si>
  <si>
    <t>risk; mitigation; contingency</t>
  </si>
  <si>
    <t>Describe identified risk and mitigation outcome.</t>
  </si>
  <si>
    <t>Budget management</t>
  </si>
  <si>
    <t>budget; cost; funds; resources</t>
  </si>
  <si>
    <t>Medium</t>
  </si>
  <si>
    <t>Quantify funds or resources controlled.</t>
  </si>
  <si>
    <t>Process improvement</t>
  </si>
  <si>
    <t>process improvement; efficiency; backlog</t>
  </si>
  <si>
    <t>Use baseline and improved metric.</t>
  </si>
  <si>
    <t>Team leadership</t>
  </si>
  <si>
    <t>team leadership; supervised; led</t>
  </si>
  <si>
    <t>State team size and performance impact.</t>
  </si>
  <si>
    <t>Operations management</t>
  </si>
  <si>
    <t>operations; workflow; execution</t>
  </si>
  <si>
    <t>Operations Management</t>
  </si>
  <si>
    <t>Describe operating scope and service level.</t>
  </si>
  <si>
    <t>Performance management</t>
  </si>
  <si>
    <t>KPI; readiness; performance</t>
  </si>
  <si>
    <t>Show KPI movement and decision cadence.</t>
  </si>
  <si>
    <t>Resource allocation</t>
  </si>
  <si>
    <t>resource allocation; prioritization</t>
  </si>
  <si>
    <t>Explain tradeoffs and operational effect.</t>
  </si>
  <si>
    <t>Quality assurance</t>
  </si>
  <si>
    <t>quality; inspection; compliance</t>
  </si>
  <si>
    <t>Include audit, defect, or compliance results.</t>
  </si>
  <si>
    <t>Continuous improvement</t>
  </si>
  <si>
    <t>continuous improvement; lean; efficiency</t>
  </si>
  <si>
    <t>Quantify time, cost, or throughput benefit.</t>
  </si>
  <si>
    <t>Workforce leadership</t>
  </si>
  <si>
    <t>workforce; team; personnel</t>
  </si>
  <si>
    <t>Show people scale and development outcomes.</t>
  </si>
  <si>
    <t>IT/Cybersecurity</t>
  </si>
  <si>
    <t>Cybersecurity operations</t>
  </si>
  <si>
    <t>cybersecurity; security operations; SOC</t>
  </si>
  <si>
    <t>Cybersecurity / IT Operations</t>
  </si>
  <si>
    <t>Describe controls, incidents, or protected scope.</t>
  </si>
  <si>
    <t>Risk and compliance</t>
  </si>
  <si>
    <t>risk; compliance; RMF; controls</t>
  </si>
  <si>
    <t>Translate frameworks and control outcomes.</t>
  </si>
  <si>
    <t>Network administration</t>
  </si>
  <si>
    <t>network; systems; infrastructure</t>
  </si>
  <si>
    <t>Quantify users, sites, availability, or incidents.</t>
  </si>
  <si>
    <t>Incident response</t>
  </si>
  <si>
    <t>incident response; troubleshooting; recovery</t>
  </si>
  <si>
    <t>Show response time and restored capability.</t>
  </si>
  <si>
    <t>Access management</t>
  </si>
  <si>
    <t>access control; identity; permissions</t>
  </si>
  <si>
    <t>Describe governance and reduced exposure.</t>
  </si>
  <si>
    <t>Technical documentation</t>
  </si>
  <si>
    <t>documentation; SOP; technical writing</t>
  </si>
  <si>
    <t>Show adoption, standardization, or audit value.</t>
  </si>
  <si>
    <t>Supply chain management</t>
  </si>
  <si>
    <t>supply chain; sustainment; distribution</t>
  </si>
  <si>
    <t>Quantify inventory, locations, or service levels.</t>
  </si>
  <si>
    <t>Inventory management</t>
  </si>
  <si>
    <t>inventory; property; asset accountability</t>
  </si>
  <si>
    <t>State asset value and accuracy.</t>
  </si>
  <si>
    <t>Transportation coordination</t>
  </si>
  <si>
    <t>transportation; movement; routing</t>
  </si>
  <si>
    <t>Show volume, distance, timeliness, or savings.</t>
  </si>
  <si>
    <t>Vendor coordination</t>
  </si>
  <si>
    <t>vendor; supplier; contract support</t>
  </si>
  <si>
    <t>Describe external coordination and outcomes.</t>
  </si>
  <si>
    <t>Demand planning</t>
  </si>
  <si>
    <t>forecast; demand; requirements planning</t>
  </si>
  <si>
    <t>Show improved availability or reduced excess.</t>
  </si>
  <si>
    <t>Asset readiness</t>
  </si>
  <si>
    <t>maintenance; readiness; fleet availability</t>
  </si>
  <si>
    <t>Use availability, backlog, or turnaround metrics.</t>
  </si>
  <si>
    <t>SKILLS GAP ANALYZER</t>
  </si>
  <si>
    <t>Compare selected career requirements against PII-cleared accomplishment evidence</t>
  </si>
  <si>
    <t>TARGET SETTINGS</t>
  </si>
  <si>
    <t>Target Job Keywords</t>
  </si>
  <si>
    <t>PASTE TARGET JOB / ROLE REQUIREMENTS</t>
  </si>
  <si>
    <t>REQUIRED SKILLS VS. EVIDENCE</t>
  </si>
  <si>
    <t>Required Skill</t>
  </si>
  <si>
    <t>Status</t>
  </si>
  <si>
    <t>Evidence Count</t>
  </si>
  <si>
    <t>Suggested Action</t>
  </si>
  <si>
    <t>GAP SUMMARY</t>
  </si>
  <si>
    <t>Covered</t>
  </si>
  <si>
    <t>Gaps</t>
  </si>
  <si>
    <t>Coverage</t>
  </si>
  <si>
    <t>Count</t>
  </si>
  <si>
    <t>Certification</t>
  </si>
  <si>
    <t>Special Assignment</t>
  </si>
  <si>
    <t>Volunteer Service</t>
  </si>
  <si>
    <t>Other</t>
  </si>
  <si>
    <t>Do Not Use</t>
  </si>
  <si>
    <t>TRANSITION ANALYTICS DASHBOARD</t>
  </si>
  <si>
    <t>Live readiness, evidence, PII-review, career-path, and skills-gap analytics</t>
  </si>
  <si>
    <t>TOTAL RECORDS</t>
  </si>
  <si>
    <t>PII-CLEARED</t>
  </si>
  <si>
    <t>SKILL COVERAGE</t>
  </si>
  <si>
    <t>STORY IN BRIEF</t>
  </si>
  <si>
    <t>Service Branch</t>
  </si>
  <si>
    <t>Army</t>
  </si>
  <si>
    <t>Use the accomplishment; omit rating codes unless required.</t>
  </si>
  <si>
    <t>Translate the specialty rather than listing only the code.</t>
  </si>
  <si>
    <t>Structured planning and decision process</t>
  </si>
  <si>
    <t>Translate to strategic planning, risk analysis, and alternatives development.</t>
  </si>
  <si>
    <t>Navy</t>
  </si>
  <si>
    <t>FITREP / EVAL</t>
  </si>
  <si>
    <t>Use evidence and outcomes rather than promotion recommendations.</t>
  </si>
  <si>
    <t>LPO</t>
  </si>
  <si>
    <t>Team lead / frontline supervisor</t>
  </si>
  <si>
    <t>State team size, operational scope, and results.</t>
  </si>
  <si>
    <t>CPO</t>
  </si>
  <si>
    <t>Senior enlisted leader / operations manager</t>
  </si>
  <si>
    <t>Emphasize workforce leadership and technical oversight.</t>
  </si>
  <si>
    <t>NEC</t>
  </si>
  <si>
    <t>Specialized technical qualification</t>
  </si>
  <si>
    <t>Translate the capability and tools, not only the code.</t>
  </si>
  <si>
    <t>PQS</t>
  </si>
  <si>
    <t>Documented job qualification standard</t>
  </si>
  <si>
    <t>Describe verified competencies and qualification scope.</t>
  </si>
  <si>
    <t>Marine Corps</t>
  </si>
  <si>
    <t>FITREP</t>
  </si>
  <si>
    <t>Translate observed performance into measurable civilian outcomes.</t>
  </si>
  <si>
    <t>Use a civilian function and relevant technical skills.</t>
  </si>
  <si>
    <t>SNCOIC</t>
  </si>
  <si>
    <t>Senior team lead / operations supervisor</t>
  </si>
  <si>
    <t>Quantify personnel, resources, and operational impact.</t>
  </si>
  <si>
    <t>MCI / MarineNet</t>
  </si>
  <si>
    <t>Professional or technical distance learning</t>
  </si>
  <si>
    <t>Name the practical capability gained.</t>
  </si>
  <si>
    <t>MAGTF</t>
  </si>
  <si>
    <t>Integrated cross-functional operating organization</t>
  </si>
  <si>
    <t>Describe coordination across multiple functional teams.</t>
  </si>
  <si>
    <t>Air Force</t>
  </si>
  <si>
    <t>EPB / OPB</t>
  </si>
  <si>
    <t>Performance brief / evaluation</t>
  </si>
  <si>
    <t>Translate performance statements into action, scope, and result.</t>
  </si>
  <si>
    <t>AFSC</t>
  </si>
  <si>
    <t>Translate to the civilian discipline and tools used.</t>
  </si>
  <si>
    <t>Include team scale, responsibility, and performance effect.</t>
  </si>
  <si>
    <t>Additional Duty</t>
  </si>
  <si>
    <t>Secondary program responsibility</t>
  </si>
  <si>
    <t>Program Management</t>
  </si>
  <si>
    <t>Explain governance, compliance, or process ownership.</t>
  </si>
  <si>
    <t>Sortie Generation</t>
  </si>
  <si>
    <t>Operational scheduling and asset availability</t>
  </si>
  <si>
    <t>Translate to throughput, availability, and coordination metrics.</t>
  </si>
  <si>
    <t>Space Force</t>
  </si>
  <si>
    <t>Use mission effects and measurable capability outcomes.</t>
  </si>
  <si>
    <t>SFSC</t>
  </si>
  <si>
    <t>Space Force occupational specialty</t>
  </si>
  <si>
    <t>Translate to the civilian technical or operational discipline.</t>
  </si>
  <si>
    <t>Guardian</t>
  </si>
  <si>
    <t>Space Force service member / professional</t>
  </si>
  <si>
    <t>Identity</t>
  </si>
  <si>
    <t>Use the role or profession rather than the service title when appropriate.</t>
  </si>
  <si>
    <t>Space Domain Awareness</t>
  </si>
  <si>
    <t>Monitoring and analysis of space activity</t>
  </si>
  <si>
    <t>Analytics</t>
  </si>
  <si>
    <t>Describe data analysis, risk detection, and decision support.</t>
  </si>
  <si>
    <t>Mission Delta</t>
  </si>
  <si>
    <t>Integrated operational organization</t>
  </si>
  <si>
    <t>Describe the functional mission and cross-team scope.</t>
  </si>
  <si>
    <t>Coast Guard</t>
  </si>
  <si>
    <t>EER / OER</t>
  </si>
  <si>
    <t>Translate competencies and outcomes into civilian evidence.</t>
  </si>
  <si>
    <t>Rating</t>
  </si>
  <si>
    <t>Translate the specialty into a civilian functional area.</t>
  </si>
  <si>
    <t>Responsible operations manager</t>
  </si>
  <si>
    <t>State authority, personnel, assets, and mission scope.</t>
  </si>
  <si>
    <t>Coxswain</t>
  </si>
  <si>
    <t>Small-vessel operator and mission leader</t>
  </si>
  <si>
    <t>Emphasize command responsibility, safety, and crew coordination.</t>
  </si>
  <si>
    <t>SAR</t>
  </si>
  <si>
    <t>Search-and-rescue operations</t>
  </si>
  <si>
    <t>Emergency Management</t>
  </si>
  <si>
    <t>Translate to emergency response, risk management, and coordination.</t>
  </si>
  <si>
    <t>Award / recognition</t>
  </si>
  <si>
    <t>Academic Evaluation Report</t>
  </si>
  <si>
    <t>Service-school evaluation</t>
  </si>
  <si>
    <t>Certificate</t>
  </si>
  <si>
    <t>Training / certification</t>
  </si>
  <si>
    <t>Decoration Citation</t>
  </si>
  <si>
    <t>Training Report</t>
  </si>
  <si>
    <t>Training Evaluation</t>
  </si>
  <si>
    <t>All Services</t>
  </si>
  <si>
    <t>Official Record</t>
  </si>
  <si>
    <t>Other official evidence</t>
  </si>
  <si>
    <t>Branch Source Types</t>
  </si>
  <si>
    <t>Service Dictionary</t>
  </si>
  <si>
    <t>Use this workbook to consolidate awards, evaluations, and service-school achievements from Army, Navy, Marine Corps, Air Force, Space Force, and Coast Guard records without names, unit identifiers, personal contact information, or exact sensitive locations. Select approved records, paste a target opportunity, and generate tailored professional-document prompts.</t>
  </si>
  <si>
    <t>Dashboard</t>
  </si>
  <si>
    <t>Monitor evidence, PII review, career targets, service branches, and skills coverage.</t>
  </si>
  <si>
    <t>Enter or revise one PII-free accomplishment record for any U.S. armed service.</t>
  </si>
  <si>
    <t>Store approved evidence with branch, career-path, role-family, and job-reference fields.</t>
  </si>
  <si>
    <t>Skills Gap</t>
  </si>
  <si>
    <t>Branch analytics update automatically when Service Branch is selected on the Form or entered in tblRecords.</t>
  </si>
  <si>
    <t>All-service PII-free record entry with career targeting and macro-ready record controls</t>
  </si>
  <si>
    <t>Service Terms / Acronyms</t>
  </si>
  <si>
    <t>Paste complete role requirements above; the analyzer checks those requirements and only PII-cleared evidence records.</t>
  </si>
  <si>
    <t>Paste complete target requirements above. The URL field is a reference; tailoring uses the pasted requirements.</t>
  </si>
  <si>
    <t>OUTPUT READY</t>
  </si>
  <si>
    <t>Target Mentions?</t>
  </si>
  <si>
    <t>Compare career requirements against PII-cleared accomplishment evidence.</t>
  </si>
  <si>
    <t>Career Paths</t>
  </si>
  <si>
    <t>Maintain editable civilian pathways, role families, skill variants, and guidance.</t>
  </si>
  <si>
    <t>Search and expand service terminology, evaluations, and civilian translations.</t>
  </si>
  <si>
    <t>AUD-BASE-001</t>
  </si>
  <si>
    <t>Audit Initialized</t>
  </si>
  <si>
    <t>Audit Log</t>
  </si>
  <si>
    <t>Created privacy-safe workbook action register.</t>
  </si>
  <si>
    <t>Completed</t>
  </si>
  <si>
    <t>Copilot</t>
  </si>
  <si>
    <t>AUD-BASE-002</t>
  </si>
  <si>
    <t>Quality Review</t>
  </si>
  <si>
    <t>Workbook</t>
  </si>
  <si>
    <t>Reviewed formulas, charts, navigation, PII logic, and all-service references.</t>
  </si>
  <si>
    <t>AUD-BASE-003</t>
  </si>
  <si>
    <t>Prompt Upgrade</t>
  </si>
  <si>
    <t>Added ATS-optimized civilian resume and recruiter-style cover-letter instructions.</t>
  </si>
  <si>
    <t>AUD-BASE-004</t>
  </si>
  <si>
    <t>Layout Standard</t>
  </si>
  <si>
    <t>All styled sheets</t>
  </si>
  <si>
    <t>Standardized visible spacing between titles and subject graphics.</t>
  </si>
  <si>
    <t>ATS-Optimized Civilian Resume</t>
  </si>
  <si>
    <t>Act as an expert military-to-civilian transition coach and corporate Applicant Tracking System optimization specialist. Create a polished civilian resume using only the selected evidence and pasted target job description. Demilitarize all ranks, acronyms, unit terms, and operational language into corporate equivalents. Identify and naturally weave in the job description's exact high-priority hard skills, software, and competencies. Write achievement bullets using the X-Y-Z structure: accomplished X, measured by Y, by doing Z. Translate personnel, asset, budget, readiness, and mission scope into business value such as efficiency, savings, risk reduction, quality, availability, or delivery. Use clean Markdown sections: Summary, Core Competencies, Professional Experience, and Education. Do not use tables, graphics, columns, keyword stuffing, or invented facts; place missing factual details in brackets.</t>
  </si>
  <si>
    <t>1–2 pages</t>
  </si>
  <si>
    <t>Act as a professional corporate recruiter. Write a compelling one-page cover letter based on the selected military evidence, ATS-optimized resume context, and target job description. Keep it under 300 words with a confident, natural private-sector tone. Open with a strong hook explaining why the candidate's leadership background fits this exact role. Immediately bridge military capabilities—such as crisis management, rapid scalability, accountability, and resource leadership—to the employer's likely needs. Naturally integrate 3–5 highest-priority hard skills from the job description, highlight 1–2 strongest measurable achievements, and end with a professional interview request and polite closing. Demilitarize all language and never invent facts.</t>
  </si>
  <si>
    <t>Under 300 words</t>
  </si>
  <si>
    <t>Create ATS resumes, tailored letters, and other Copilot-ready outputs.</t>
  </si>
  <si>
    <t>Maintain ATS, letter, application, essay, and official-business instructions.</t>
  </si>
  <si>
    <t>Review privacy-safe workbook actions and record-management events.</t>
  </si>
  <si>
    <t>Enable Add, Save, Update, and audit-event macros in an .xlsm copy.</t>
  </si>
  <si>
    <t>record_id</t>
  </si>
  <si>
    <t>include_in_output</t>
  </si>
  <si>
    <t>record_type</t>
  </si>
  <si>
    <t>date_period</t>
  </si>
  <si>
    <t>source_type</t>
  </si>
  <si>
    <t>military_evaluation_bullet</t>
  </si>
  <si>
    <t>quantifiable_metrics</t>
  </si>
  <si>
    <t>service_terms_acronyms</t>
  </si>
  <si>
    <t>civilian_skills_translated</t>
  </si>
  <si>
    <t>target_keywords</t>
  </si>
  <si>
    <t>pii_status</t>
  </si>
  <si>
    <t>notes</t>
  </si>
  <si>
    <t>career_path</t>
  </si>
  <si>
    <t>job_role_family</t>
  </si>
  <si>
    <t>job_url_reference</t>
  </si>
  <si>
    <t>service_branch</t>
  </si>
  <si>
    <t>skill_name</t>
  </si>
  <si>
    <t>keyword_variants</t>
  </si>
  <si>
    <t>role_family</t>
  </si>
  <si>
    <t>priority</t>
  </si>
  <si>
    <t>guidance</t>
  </si>
  <si>
    <t>output_type</t>
  </si>
  <si>
    <t>category</t>
  </si>
  <si>
    <t>prompt_instructions</t>
  </si>
  <si>
    <t>recommended_length</t>
  </si>
  <si>
    <t>event_id</t>
  </si>
  <si>
    <t>timestamp</t>
  </si>
  <si>
    <t>action_type</t>
  </si>
  <si>
    <t>sheet_object</t>
  </si>
  <si>
    <t>description</t>
  </si>
  <si>
    <t>result</t>
  </si>
  <si>
    <t>source</t>
  </si>
  <si>
    <t>form_label</t>
  </si>
  <si>
    <t>assigned_macro</t>
  </si>
  <si>
    <t>term_acronym</t>
  </si>
  <si>
    <t>civilian_translation</t>
  </si>
  <si>
    <t>usage_guidance</t>
  </si>
  <si>
    <t>evaluation_record</t>
  </si>
  <si>
    <t>purpose</t>
  </si>
  <si>
    <t>role_id</t>
  </si>
  <si>
    <t>role_name</t>
  </si>
  <si>
    <t>onet_code</t>
  </si>
  <si>
    <t>role_category</t>
  </si>
  <si>
    <t>job_description</t>
  </si>
  <si>
    <t>required_skills</t>
  </si>
  <si>
    <t>required_qualifications</t>
  </si>
  <si>
    <t>ai_agent_function</t>
  </si>
  <si>
    <t>logical_reasoning</t>
  </si>
  <si>
    <t>user_value_justification</t>
  </si>
  <si>
    <t>system_value_justification</t>
  </si>
  <si>
    <t>source_url</t>
  </si>
  <si>
    <t>ROLE-001</t>
  </si>
  <si>
    <t>Military Transition Counselor</t>
  </si>
  <si>
    <t>21-1012.00</t>
  </si>
  <si>
    <t>Transition Counseling</t>
  </si>
  <si>
    <t>Guides service members through civilian transition planning, career exploration, transferable-skill translation, education options, and referrals to authoritative benefits or support resources.</t>
  </si>
  <si>
    <t>Career counseling; needs assessment; active listening; military-to-civilian skills translation; resource navigation; action planning; documentation</t>
  </si>
  <si>
    <t>Career-counseling or workforce-development knowledge; military transition familiarity; strong communication; appropriate human credentials and supervision when delivering regulated counseling</t>
  </si>
  <si>
    <t>Conduct structured intake; translate military experience; identify transition goals and gaps; generate an individualized action plan; route benefits, clinical, legal, or crisis matters to qualified human services.</t>
  </si>
  <si>
    <t>Classify the request by domain; extract service history, goals, constraints, and evidence; map experience to civilian competencies; rank next actions by urgency and dependency; cite authoritative resources; flag uncertainty and escalation triggers.</t>
  </si>
  <si>
    <t>Reduces transition friction by turning unfamiliar military experience and fragmented requirements into an understandable, prioritized civilian plan.</t>
  </si>
  <si>
    <t>Provides a reusable orchestration layer that connects records, career architecture, skills gaps, and downstream specialist agents without duplicating regulated services.</t>
  </si>
  <si>
    <t>https://www.onetonline.org/link/summary/21-1012.00</t>
  </si>
  <si>
    <t>O*NET alignment is a functional proxy. AI must not represent itself as a licensed counselor or make binding eligibility determinations.</t>
  </si>
  <si>
    <t>ROLE-002</t>
  </si>
  <si>
    <t>VA Benefits Advisor</t>
  </si>
  <si>
    <t>13-1031.00</t>
  </si>
  <si>
    <t>Benefits Navigation</t>
  </si>
  <si>
    <t>Explains VA benefit programs and general eligibility concepts, organizes supporting evidence, identifies likely application pathways, and helps users prepare questions or documents for an accredited representative or VA decision-maker.</t>
  </si>
  <si>
    <t>Benefits research; evidence organization; interviewing; claims-process literacy; plain-language explanation; issue spotting; records management</t>
  </si>
  <si>
    <t>Current knowledge of VA programs and official guidance; careful documentation; privacy handling; referral awareness; accreditation required for formal representation before VA</t>
  </si>
  <si>
    <t>Identify the benefit topic; collect non-sensitive facts; compare the situation with current official eligibility guidance; produce a document checklist and questions; refer disputed, complex, or representation matters to VA or an accredited representative.</t>
  </si>
  <si>
    <t>Separate facts from assumptions; identify the governing benefit program; test apparent eligibility elements against official criteria; surface missing evidence and conflicts; never predict or issue a benefits decision.</t>
  </si>
  <si>
    <t>Helps Veterans understand options and prepare complete, organized submissions while reducing avoidable confusion and omissions.</t>
  </si>
  <si>
    <t>Creates a controlled benefits-navigation function with source grounding, uncertainty labels, PII minimization, and mandatory escalation for determinations or representation.</t>
  </si>
  <si>
    <t>https://benefits.va.gov/BENEFITS/jobs/index.asp</t>
  </si>
  <si>
    <t>O*NET code is a claims-examiner proxy for benefits analysis. The agent provides information and preparation support only—not legal advice, accreditation, representation, or VA adjudication.</t>
  </si>
  <si>
    <t>ROLE-003</t>
  </si>
  <si>
    <t>Veteran Career Coach</t>
  </si>
  <si>
    <t>Career Development</t>
  </si>
  <si>
    <t>Supports Veterans with career exploration, occupational matching, resume strategy, interview preparation, networking plans, and measurable job-search goals based on verified experience.</t>
  </si>
  <si>
    <t>Career assessment; occupational research; coaching; resume and interview strategy; goal setting; labor-market interpretation; motivational communication</t>
  </si>
  <si>
    <t>Career-development knowledge; familiarity with Veteran employment barriers and civilian hiring; evidence-based coaching practice; strong written and verbal communication</t>
  </si>
  <si>
    <t>Translate verified accomplishments into civilian value; match skills to role families; identify gaps; build job-search materials and weekly actions; track progress and recommend human coaching where needed.</t>
  </si>
  <si>
    <t>Analyze goals, preferences, constraints, and verified evidence; generate plausible career matches; compare requirements against demonstrated skills; explain tradeoffs; prioritize attainable next steps without inventing credentials.</t>
  </si>
  <si>
    <t>Gives Veterans an evidence-based career narrative and practical search plan tailored to their experience and target roles.</t>
  </si>
  <si>
    <t>Turns the workbook’s accomplishment records and skill library into consistent, auditable career recommendations and tailored outputs.</t>
  </si>
  <si>
    <t>Career coaching is non-clinical. Recommendations should disclose assumptions and distinguish verified evidence from user-supplied goals.</t>
  </si>
  <si>
    <t>ROLE-004</t>
  </si>
  <si>
    <t>VR&amp;E Counselor</t>
  </si>
  <si>
    <t>21-1015.00</t>
  </si>
  <si>
    <t>Vocational Rehabilitation</t>
  </si>
  <si>
    <t>Supports vocational rehabilitation planning for eligible Veterans by assessing barriers, interpreting vocational information, coordinating services, and developing individualized education, training, employment, or independent-living plans.</t>
  </si>
  <si>
    <t>Rehabilitation counseling; case management; vocational assessment; disability-informed planning; labor-market analysis; service coordination; documentation</t>
  </si>
  <si>
    <t>For a human VA VRC: qualifying master’s degree or higher in an approved counseling or social-work field plus supervised internship or qualifying post-master’s rehabilitation experience, under the applicable VA standard</t>
  </si>
  <si>
    <t>Prepare structured intake summaries; organize vocational, education, and employment evidence; model plan options; identify accommodations and service dependencies; reserve eligibility, entitlement, clinical judgment, and plan approval for an authorized VRC.</t>
  </si>
  <si>
    <t>Integrate goals, functional limitations, transferable skills, labor-market conditions, and service requirements; compare feasible pathways; document why each option fits; escalate determinations and sensitive disability issues to authorized professionals.</t>
  </si>
  <si>
    <t>Helps users prepare for VR&amp;E conversations and understand plan alternatives without replacing professional rehabilitation counseling.</t>
  </si>
  <si>
    <t>Adds disability-aware vocational planning with explicit human-decision gates, supporting coordinated and auditable case preparation.</t>
  </si>
  <si>
    <t>https://www.va.gov/OHRM/QualificationStandards/T5/0101-VocationalRehabilitationCounselor.pdf</t>
  </si>
  <si>
    <t>VA qualification standard cited. AI cannot determine Chapter 31 eligibility or entitlement, diagnose conditions, or approve rehabilitation plans.</t>
  </si>
  <si>
    <t>ROLE-005</t>
  </si>
  <si>
    <t>Military Family Life Counselor</t>
  </si>
  <si>
    <t>21-1014.00</t>
  </si>
  <si>
    <t>Non-Medical Counseling</t>
  </si>
  <si>
    <t>Provides short-term, confidential, non-medical counseling and education for service members and military families concerning deployment, relationships, parenting, stress, grief, and adjustment challenges.</t>
  </si>
  <si>
    <t>Active listening; brief solution-focused counseling; psychoeducation; cultural competence; family support; risk recognition; referral and crisis escalation</t>
  </si>
  <si>
    <t>For a human MFLC: appropriate advanced behavioral-health education, independent clinical licensure or credentialing as required by the program and employer, and military-community competence</t>
  </si>
  <si>
    <t>Offer psychoeducational information, reflective prompts, coping resources, and appointment preparation; detect crisis, abuse, self-harm, medical, or clinical needs and immediately route users to qualified or emergency support.</t>
  </si>
  <si>
    <t>Determine whether the request is informational, supportive, clinical, or urgent; remain within non-medical support boundaries; avoid diagnosis; use minimum necessary data; apply mandatory escalation rules for safety concerns.</t>
  </si>
  <si>
    <t>Offers accessible, military-aware support and clearer routes to appropriate human care while protecting confidentiality expectations.</t>
  </si>
  <si>
    <t>Provides a bounded family-support capability with strong safety triage, privacy controls, and separation from diagnosis or treatment.</t>
  </si>
  <si>
    <t>https://www.militaryonesource.mil/programs/military-family-life-counseling/</t>
  </si>
  <si>
    <t>AI is not an MFLC and cannot provide therapy or emergency response. Clearly state confidentiality limits and present crisis resources when risk indicators appear.</t>
  </si>
  <si>
    <t>ROLE-006</t>
  </si>
  <si>
    <t>Fellowship Recruiter</t>
  </si>
  <si>
    <t>13-1071.00</t>
  </si>
  <si>
    <t>Talent Acquisition</t>
  </si>
  <si>
    <t>Sources, evaluates, and engages transitioning service members and Veterans for fellowship opportunities; coordinates candidate pipelines, host matching, outreach, interviews, and program communications.</t>
  </si>
  <si>
    <t>Talent sourcing; candidate screening; military-skill translation; relationship management; outreach; interview coordination; pipeline analytics; inclusive recruiting</t>
  </si>
  <si>
    <t>Recruiting or program-management experience; knowledge of fellowship eligibility and host requirements; fair-selection practices; strong communication and applicant-tracking discipline</t>
  </si>
  <si>
    <t>Match verified candidate evidence to fellowship criteria; generate outreach and interview guides; identify missing application information; maintain pipeline status; explain recommendations using job-related criteria.</t>
  </si>
  <si>
    <t>Apply consistent eligibility and fit criteria; compare documented skills with host needs; separate required from preferred qualifications; identify evidence gaps; avoid protected-trait inference and unsupported ranking.</t>
  </si>
  <si>
    <t>Helps candidates find relevant fellowships and understand how to present military experience for host organizations.</t>
  </si>
  <si>
    <t>Creates a scalable, explainable fellowship pipeline while enforcing consistent criteria, auditability, and bias controls.</t>
  </si>
  <si>
    <t>https://www.onetonline.org/link/summary/13-1071.00</t>
  </si>
  <si>
    <t>Use only job-related information. Require human review for rejection, selection, accommodation, or other consequential employment decisions.</t>
  </si>
  <si>
    <t>ROLE-007</t>
  </si>
  <si>
    <t>Corporate Recruiter</t>
  </si>
  <si>
    <t>Partners with hiring teams to define role requirements, source and screen candidates, coordinate interviews, communicate with applicants, and support evidence-based hiring decisions.</t>
  </si>
  <si>
    <t>Recruiting; intake and job analysis; sourcing; structured screening; interviewing; stakeholder management; applicant tracking; employment-law awareness; analytics</t>
  </si>
  <si>
    <t>Recruiting or HR experience; knowledge of structured and equitable selection practices; familiarity with applicant-tracking systems; strong communication and data stewardship</t>
  </si>
  <si>
    <t>Convert role requirements into structured criteria; match verified Veteran skills to openings; draft outreach and interview materials; summarize evidence for human reviewers; document rationale and uncertainty.</t>
  </si>
  <si>
    <t>Normalize role requirements; distinguish essential from preferred criteria; map only verified evidence; use consistent scoring rules; exclude protected attributes and proxies; require human approval for consequential decisions.</t>
  </si>
  <si>
    <t>Improves access to suitable civilian roles and makes military experience understandable to corporate hiring teams.</t>
  </si>
  <si>
    <t>Supports repeatable, auditable matching and reduces inconsistent interpretation while retaining accountable human hiring authority.</t>
  </si>
  <si>
    <t>Decision-support only. Do not autonomously reject, rank on protected traits, infer disability, or make final hiring decisions.</t>
  </si>
  <si>
    <t>trigger_category</t>
  </si>
  <si>
    <t>user_intent_keywords</t>
  </si>
  <si>
    <t>required_input_fields</t>
  </si>
  <si>
    <t>routing_priority</t>
  </si>
  <si>
    <t>routed_persona</t>
  </si>
  <si>
    <t>logic_type</t>
  </si>
  <si>
    <t>safety_or_privacy_rule</t>
  </si>
  <si>
    <t>fallback_persona</t>
  </si>
  <si>
    <t>output_format</t>
  </si>
  <si>
    <t>benefits</t>
  </si>
  <si>
    <t>VA benefits; disability claim; compensation; pension; GI Bill; education benefit; home loan; health care; survivor benefit; eligibility; appeal</t>
  </si>
  <si>
    <t>benefit_topic; service_status; discharge_characterization_if_relevant; general_service_period; current_claim_stage; user_goal; available_non_sensitive_evidence</t>
  </si>
  <si>
    <t>2 - High</t>
  </si>
  <si>
    <t>rules_based_eligibility_navigation</t>
  </si>
  <si>
    <t>Collect minimum necessary information; do not request SSN, DoD ID, claim number, medical records, or full date of birth. Provide current official information and preparation support only; never determine eligibility, predict an award, provide legal representation, or submit a claim. Escalate disputed or consequential matters to VA or an accredited representative.</t>
  </si>
  <si>
    <t>benefit pathway summary; missing-information checklist; evidence checklist; official-resource links; questions for VA or accredited representative; uncertainty and escalation notice</t>
  </si>
  <si>
    <t>career_translation</t>
  </si>
  <si>
    <t>translate MOS; translate AFSC; translate rating; civilian equivalent; resume; transferable skills; career match; job title; interview; LinkedIn</t>
  </si>
  <si>
    <t>service_branch; military_role_or_specialty; verified_accomplishments; quantifiable_metrics; target_role_or_industry; preferences; constraints</t>
  </si>
  <si>
    <t>3 - Standard</t>
  </si>
  <si>
    <t>evidence_based_semantic_matching</t>
  </si>
  <si>
    <t>Use only verified accomplishments and user-provided goals; remove or generalize PII, unit identifiers, exact sensitive locations, and operational details. Do not invent credentials, duties, metrics, or occupational equivalency. Clearly label assumptions and evidence gaps.</t>
  </si>
  <si>
    <t>civilian role options; translated competency map; evidence-backed resume bullets; skill-gap list; prioritized career actions</t>
  </si>
  <si>
    <t>skillbridge_fellowships</t>
  </si>
  <si>
    <t>SkillBridge; fellowship; internship; Hiring Our Heroes; fellowship host; cohort; application; host company; transition internship</t>
  </si>
  <si>
    <t>service_branch; separation_or_retirement_window; duty_status; location_or_remote_preference; target_function; verified_skills; fellowship_requirements; command_approval_status_if_shared</t>
  </si>
  <si>
    <t>criteria_based_program_matching</t>
  </si>
  <si>
    <t>Minimize collection of personnel details; do not request DoD ID, orders, exact unit, or command contact data. Treat eligibility and command approval as external determinations. Use job-related criteria only and require human review for selection or rejection.</t>
  </si>
  <si>
    <t>fellowship match shortlist; eligibility questions; application checklist; evidence-gap summary; outreach draft; timeline and approval dependencies</t>
  </si>
  <si>
    <t>corporate_recruiting</t>
  </si>
  <si>
    <t>recruiter; candidate screening; job match; corporate role; hiring manager; talent pipeline; interview slate; applicant; vacancy</t>
  </si>
  <si>
    <t>job_description; essential_qualifications; preferred_qualifications; candidate_verified_skills; candidate_accomplishments; work_preferences; application_stage</t>
  </si>
  <si>
    <t>structured_job_matching_with_human_review</t>
  </si>
  <si>
    <t>Use job-related evidence only; exclude protected traits and proxies; do not infer disability, medical status, age, family status, race, religion, or other protected information. No autonomous rejection, final ranking, accommodation decision, or hiring decision.</t>
  </si>
  <si>
    <t>requirements matrix; evidence-based match summary; missing qualifications; structured interview questions; recruiter handoff with human-review flag</t>
  </si>
  <si>
    <t>vre_retraining</t>
  </si>
  <si>
    <t>VR&amp;E; Chapter 31; Veteran Readiness and Employment; vocational rehabilitation; retraining; employment handicap; rehabilitation plan; independent living; accommodation</t>
  </si>
  <si>
    <t>user_goal; current_employment_or_education_status; general_service_connected_limitation_summary_optional; verified_skills; prior_education; training_interests; location_constraints; current_VR&amp;E_stage</t>
  </si>
  <si>
    <t>1 - Urgent Specialist</t>
  </si>
  <si>
    <t>disability_aware_vocational_pathway_analysis</t>
  </si>
  <si>
    <t>Request functional needs rather than diagnoses or medical records whenever possible. Do not determine Chapter 31 eligibility or entitlement, diagnose a condition, interpret clinical evidence, or approve a rehabilitation plan. Route eligibility and plan decisions to an authorized VA VRC.</t>
  </si>
  <si>
    <t>VR&amp;E preparation brief; vocational options comparison; transferable-skills analysis; questions for VRC; document checklist; accommodations discussion prompts; explicit decision boundaries</t>
  </si>
  <si>
    <t>transition_timeline_support</t>
  </si>
  <si>
    <t>transition timeline; ETS; EAS; separation; retirement; TAP; checklist; 12 months out; 6 months out; 90 days; relocation; transition plan</t>
  </si>
  <si>
    <t>service_branch; separation_or_retirement_month_or_relative_window; completed_transition_steps; employment_or_education_goal; location_preference; family_constraints_optional; urgent_deadlines</t>
  </si>
  <si>
    <t>milestone_dependency_planning</t>
  </si>
  <si>
    <t>Use month or relative time window instead of exact dates when adequate; do not request orders, exact unit, DoD ID, home address, or sensitive movement details. Separate official deadlines from recommended milestones and flag items needing installation or agency confirmation.</t>
  </si>
  <si>
    <t>phased transition roadmap; deadline and dependency checklist; owner and status fields; next-three-actions summary; specialist referrals</t>
  </si>
  <si>
    <t>psychosocial_safety_triage</t>
  </si>
  <si>
    <t>stress; overwhelmed; anxiety; depression; relationship conflict; family stress; grief; isolation; crisis; suicidal; self-harm; unsafe; abuse; domestic violence; emergency</t>
  </si>
  <si>
    <t>immediate_safety_status; crisis_or_harm_indicators; user_location_country_or_region_only_if_needed_for_resources; preferred_contact_or_support_option; non_sensitive_context</t>
  </si>
  <si>
    <t>0 - Critical</t>
  </si>
  <si>
    <t>safety_first_triage_and_human_escalation</t>
  </si>
  <si>
    <t>Collect the minimum information needed for safety routing. Do not promise confidentiality, diagnose, provide therapy, or delay emergency support. If there is imminent danger, self-harm, harm to others, abuse, or a medical emergency, immediately direct the user to local emergency services or an appropriate crisis resource and encourage contact with a trusted person. Do not store detailed clinical narratives in the workbook.</t>
  </si>
  <si>
    <t>brief empathetic acknowledgment; immediate safety instruction when indicated; human-support options; crisis or emergency resources; minimal next step; no career or benefits workflow until safety is addressed</t>
  </si>
  <si>
    <t>fellowship_id</t>
  </si>
  <si>
    <t>fellowship_name</t>
  </si>
  <si>
    <t>provider_name</t>
  </si>
  <si>
    <t>skillbridge_eligible</t>
  </si>
  <si>
    <t>cohort_start_date</t>
  </si>
  <si>
    <t>cohort_end_date</t>
  </si>
  <si>
    <t>application_deadline</t>
  </si>
  <si>
    <t>target_mos_codes</t>
  </si>
  <si>
    <t>target_skills</t>
  </si>
  <si>
    <t>location_type</t>
  </si>
  <si>
    <t>remote_available</t>
  </si>
  <si>
    <t>eligibility_notes</t>
  </si>
  <si>
    <t>eligibility_window_start</t>
  </si>
  <si>
    <t>days_from_window_start_to_cohort</t>
  </si>
  <si>
    <t>cohort_starts_within_180_day_window</t>
  </si>
  <si>
    <t>cohort_ends_by_separation</t>
  </si>
  <si>
    <t>application_deadline_status</t>
  </si>
  <si>
    <t>overall_timing_status</t>
  </si>
  <si>
    <t>setting_name</t>
  </si>
  <si>
    <t>setting_value</t>
  </si>
  <si>
    <t>separation_date</t>
  </si>
  <si>
    <t>req_id</t>
  </si>
  <si>
    <t>employer_name</t>
  </si>
  <si>
    <t>job_title</t>
  </si>
  <si>
    <t>job_family</t>
  </si>
  <si>
    <t>preferred_skills</t>
  </si>
  <si>
    <t>ats_keywords</t>
  </si>
  <si>
    <t>compatible_mos_codes</t>
  </si>
  <si>
    <t>compatible_jst_skills</t>
  </si>
  <si>
    <t>experience_level</t>
  </si>
  <si>
    <t>fellowship_eligible</t>
  </si>
  <si>
    <t>recruiter_notes</t>
  </si>
  <si>
    <t>risk_type</t>
  </si>
  <si>
    <t>detection_pattern</t>
  </si>
  <si>
    <t>prohibited_input_example</t>
  </si>
  <si>
    <t>replacement_placeholder</t>
  </si>
  <si>
    <t>action_required</t>
  </si>
  <si>
    <t>applies_to_sheet</t>
  </si>
  <si>
    <t>names</t>
  </si>
  <si>
    <t>Named-person indicators; labels such as name, full name, applicant, veteran, spouse, dependent, supervisor, or commander followed by a personal name; two or more capitalized name-like tokens in narrative context</t>
  </si>
  <si>
    <t>Example Veteran Name</t>
  </si>
  <si>
    <t>[VETERAN_NAME]</t>
  </si>
  <si>
    <t>Redact before storage or prompt generation; replace with the role-appropriate placeholder; require review when the text could be an organization or job title rather than a person.</t>
  </si>
  <si>
    <t>Form; Records; Generator; Audit Log; Fellowship_Tracking; Corporate_Requisition_Map</t>
  </si>
  <si>
    <t>Do not use an automated pattern as the sole basis for deletion. Preserve non-person entities and verified occupational terminology.</t>
  </si>
  <si>
    <t>ssns</t>
  </si>
  <si>
    <t>Nine-digit identifier patterns, especially 3-2-4 grouping; fields labeled SSN, Social Security number, tax ID, or taxpayer identifier</t>
  </si>
  <si>
    <t>000-00-0000</t>
  </si>
  <si>
    <t>[SSN_REDACTED]</t>
  </si>
  <si>
    <t>Block entry and output; never retain the original value; replace immediately; flag the record for privacy review.</t>
  </si>
  <si>
    <t>All worksheets</t>
  </si>
  <si>
    <t>The example is an intentionally invalid placeholder pattern. Also guard against unformatted nine-digit values and OCR spacing.</t>
  </si>
  <si>
    <t>phone_numbers</t>
  </si>
  <si>
    <t>Phone-like sequences with country code, area code, or 10-digit grouping; labels such as phone, mobile, cell, telephone, or contact number</t>
  </si>
  <si>
    <t>(000) 000-0000</t>
  </si>
  <si>
    <t>[PHONE_REDACTED]</t>
  </si>
  <si>
    <t>Redact before storage or generation; retain only a non-identifying communication preference if operationally necessary.</t>
  </si>
  <si>
    <t>Avoid treating percentages, dates, currency, serial numbers, or Excel decimals as phone numbers; use contextual validation.</t>
  </si>
  <si>
    <t>emails</t>
  </si>
  <si>
    <t>Text matching local-part@domain syntax or fields labeled email, e-mail, personal email, work email, or contact email</t>
  </si>
  <si>
    <t>veteran@example.invalid</t>
  </si>
  <si>
    <t>[EMAIL_REDACTED]</t>
  </si>
  <si>
    <t>Redact before storage or generation; do not substitute another address; allow only approved public organizational addresses when explicitly required and verified.</t>
  </si>
  <si>
    <t>The .invalid domain is reserved for examples. Distinguish personal addresses from verified public program contact information.</t>
  </si>
  <si>
    <t>exact_birth_dates</t>
  </si>
  <si>
    <t>Dates tied to birth, DOB, date of birth, birthday, age verification, or dependent identity; month-day-year or ISO date patterns in that context</t>
  </si>
  <si>
    <t>1900-01-01 (example DOB)</t>
  </si>
  <si>
    <t>[DATE]</t>
  </si>
  <si>
    <t>Remove the exact date; use an age band or eligibility statement only when necessary; block output of the original value and flag for review.</t>
  </si>
  <si>
    <t>Form; Records; Generator; Audit Log</t>
  </si>
  <si>
    <t>Do not redact ordinary cohort, application, separation, or employment dates solely because they match a date pattern; context is required.</t>
  </si>
  <si>
    <t>home_addresses</t>
  </si>
  <si>
    <t>Street-number and street-name combinations; apartment or unit designators; residential labels such as home address, residence, mailing address, ZIP, or postal address</t>
  </si>
  <si>
    <t>000 Example Street, Example City, XX 00000</t>
  </si>
  <si>
    <t>[ADDRESS_REDACTED]</t>
  </si>
  <si>
    <t>Redact street-level information; retain only broad region, state, country, or remote preference when needed for matching.</t>
  </si>
  <si>
    <t>Do not remove verified public employer or program locations. Treat exact residential and mailing locations as sensitive.</t>
  </si>
  <si>
    <t>unit_specific_identifiers</t>
  </si>
  <si>
    <t>Exact military unit names or numbers, UICs, squadron or battalion identifiers, ship or installation-specific identifiers, command contact details, or labels such as unit, UIC, command, company, battalion, brigade, wing, squadron, or detachment</t>
  </si>
  <si>
    <t>Example: 000th Example Battalion, UIC X00000</t>
  </si>
  <si>
    <t>[UNIT_REDACTED]</t>
  </si>
  <si>
    <t>Generalize to service branch, functional organization type, approximate size, and broad region; redact the exact identifier before storage or output.</t>
  </si>
  <si>
    <t>Preserve generic military terminology needed for translation. Escalate possible operationally sensitive details for human review.</t>
  </si>
  <si>
    <t>medical_details</t>
  </si>
  <si>
    <t>Diagnosis, condition, treatment, medication, provider, clinical note, disability narrative, medical-record identifier, or detailed symptoms linked to a person</t>
  </si>
  <si>
    <t>Example diagnosis or treatment detail</t>
  </si>
  <si>
    <t>[MEDICAL_DETAIL_REDACTED]</t>
  </si>
  <si>
    <t>Do not store clinical narratives in the workbook; replace with a minimal functional-needs summary only with user consent; route benefits or VR&amp;E documentation needs to authorized human channels and safety concerns to immediate support.</t>
  </si>
  <si>
    <t>Form; Records; Generator; Audit Log; Persona_Routing_Matrix</t>
  </si>
  <si>
    <t>Do not diagnose or infer medical status. Functional limitations should be generalized and collected only when necessary.</t>
  </si>
  <si>
    <t>case_specific_personal_facts</t>
  </si>
  <si>
    <t>A combination of facts that can identify an individual, such as exact dates, rare awards, named locations, unique incidents, dependent details, case numbers, claim numbers, or unusually specific service history</t>
  </si>
  <si>
    <t>Example: exact incident, date, location, and family circumstance tied to one person</t>
  </si>
  <si>
    <t>[PERSONAL_FACT_REDACTED]</t>
  </si>
  <si>
    <t>Apply data minimization; generalize dates, locations, relationships, and unique events; remove case or claim identifiers; require human privacy review before reuse or model ingestion.</t>
  </si>
  <si>
    <t>Evaluate combinations, not only individual fields. Several non-sensitive facts can become identifying when joined. Preserve verified translation meaning while reducing specificity.</t>
  </si>
  <si>
    <t>source_language</t>
  </si>
  <si>
    <t>military_term</t>
  </si>
  <si>
    <t>civilian_wording</t>
  </si>
  <si>
    <t>target_context</t>
  </si>
  <si>
    <t>target_persona</t>
  </si>
  <si>
    <t>translation_rule</t>
  </si>
  <si>
    <t>confidence_level</t>
  </si>
  <si>
    <t>source_reference</t>
  </si>
  <si>
    <t>rationale</t>
  </si>
  <si>
    <t>Military English</t>
  </si>
  <si>
    <t>Transition planning, intake summaries, civilian-language explanation, and cross-persona referrals.</t>
  </si>
  <si>
    <t>Pair with team size, mission scope, and measurable outcomes. Use the canonical wording, explain the military term once if helpful, and connect it to transition goals without adding duties or credentials.</t>
  </si>
  <si>
    <t>High - verified dictionary</t>
  </si>
  <si>
    <t>tblServiceTerms:Army|NCOIC</t>
  </si>
  <si>
    <t>Supports consistent demilitarization during intake and coordinated transition planning. Canonical category: Leadership.</t>
  </si>
  <si>
    <t>Benefits-navigation narratives and evidence organization; terminology translation must not imply eligibility or entitlement.</t>
  </si>
  <si>
    <t>Pair with team size, mission scope, and measurable outcomes. Use the canonical wording only to clarify service evidence; do not infer benefit eligibility, rating, nexus, entitlement, or claim outcome.</t>
  </si>
  <si>
    <t>Makes service evidence understandable while preserving the boundary between explanation and VA adjudication. Canonical category: Leadership.</t>
  </si>
  <si>
    <t>Career exploration, resume development, interview preparation, and transferable-skill matching.</t>
  </si>
  <si>
    <t>Pair with team size, mission scope, and measurable outcomes. Use the canonical wording in civilian career materials and pair it with verified scope, metrics, tools, and outcomes where available.</t>
  </si>
  <si>
    <t>Converts military terminology into auditable civilian career language without overstating experience. Canonical category: Leadership.</t>
  </si>
  <si>
    <t>Vocational assessment and rehabilitation planning; use functional language without medical inference.</t>
  </si>
  <si>
    <t>Pair with team size, mission scope, and measurable outcomes. Use the canonical wording for vocational analysis; distinguish demonstrated capability from functional limitation, diagnosis, eligibility, or plan approval.</t>
  </si>
  <si>
    <t>Supports vocational interpretation while reserving disability, eligibility, and rehabilitation decisions for authorized professionals. Canonical category: Leadership.</t>
  </si>
  <si>
    <t>Non-medical support context; translate role and organizational references only when needed and avoid operational detail.</t>
  </si>
  <si>
    <t>Pair with team size, mission scope, and measurable outcomes. Use the canonical wording only for contextual understanding; generalize units and locations, avoid clinical inference, and minimize sensitive details.</t>
  </si>
  <si>
    <t>Reduces jargon in supportive conversations while maintaining privacy and non-clinical boundaries. Canonical category: Leadership.</t>
  </si>
  <si>
    <t>Fellowship eligibility review, candidate-to-host matching, outreach, and application preparation using job-related evidence.</t>
  </si>
  <si>
    <t>Pair with team size, mission scope, and measurable outcomes. Use the canonical wording to compare documented skills with fellowship criteria; do not infer qualifications from title alone and require human selection review.</t>
  </si>
  <si>
    <t>Improves evidence-based fellowship matching and avoids title-only or code-only screening. Canonical category: Leadership.</t>
  </si>
  <si>
    <t>Private-sector requisition matching, structured screening, and hiring communication using verified job-related evidence.</t>
  </si>
  <si>
    <t>Pair with team size, mission scope, and measurable outcomes. Use the canonical wording to match documented evidence to job requirements; exclude protected attributes and require human review for consequential hiring decisions.</t>
  </si>
  <si>
    <t>Improves consistent private-sector matching while keeping hiring judgments job-related and human-accountable. Canonical category: Leadership.</t>
  </si>
  <si>
    <t>Describe decision authority and resources managed. Use the canonical wording, explain the military term once if helpful, and connect it to transition goals without adding duties or credentials.</t>
  </si>
  <si>
    <t>tblServiceTerms:Army|OIC</t>
  </si>
  <si>
    <t>Describe decision authority and resources managed. Use the canonical wording only to clarify service evidence; do not infer benefit eligibility, rating, nexus, entitlement, or claim outcome.</t>
  </si>
  <si>
    <t>Describe decision authority and resources managed. Use the canonical wording in civilian career materials and pair it with verified scope, metrics, tools, and outcomes where available.</t>
  </si>
  <si>
    <t>Describe decision authority and resources managed. Use the canonical wording for vocational analysis; distinguish demonstrated capability from functional limitation, diagnosis, eligibility, or plan approval.</t>
  </si>
  <si>
    <t>Describe decision authority and resources managed. Use the canonical wording only for contextual understanding; generalize units and locations, avoid clinical inference, and minimize sensitive details.</t>
  </si>
  <si>
    <t>Describe decision authority and resources managed. Use the canonical wording to compare documented skills with fellowship criteria; do not infer qualifications from title alone and require human selection review.</t>
  </si>
  <si>
    <t>Describe decision authority and resources managed. Use the canonical wording to match documented evidence to job requirements; exclude protected attributes and require human review for consequential hiring decisions.</t>
  </si>
  <si>
    <t>Use the accomplishment; omit rating codes unless required. Use the canonical wording, explain the military term once if helpful, and connect it to transition goals without adding duties or credentials.</t>
  </si>
  <si>
    <t>tblServiceTerms:Army|NCOER / OER</t>
  </si>
  <si>
    <t>Supports consistent demilitarization during intake and coordinated transition planning. Canonical category: Records.</t>
  </si>
  <si>
    <t>Use the accomplishment; omit rating codes unless required. Use the canonical wording only to clarify service evidence; do not infer benefit eligibility, rating, nexus, entitlement, or claim outcome.</t>
  </si>
  <si>
    <t>Makes service evidence understandable while preserving the boundary between explanation and VA adjudication. Canonical category: Records.</t>
  </si>
  <si>
    <t>Use the accomplishment; omit rating codes unless required. Use the canonical wording in civilian career materials and pair it with verified scope, metrics, tools, and outcomes where available.</t>
  </si>
  <si>
    <t>Converts military terminology into auditable civilian career language without overstating experience. Canonical category: Records.</t>
  </si>
  <si>
    <t>Use the accomplishment; omit rating codes unless required. Use the canonical wording for vocational analysis; distinguish demonstrated capability from functional limitation, diagnosis, eligibility, or plan approval.</t>
  </si>
  <si>
    <t>Supports vocational interpretation while reserving disability, eligibility, and rehabilitation decisions for authorized professionals. Canonical category: Records.</t>
  </si>
  <si>
    <t>Use the accomplishment; omit rating codes unless required. Use the canonical wording only for contextual understanding; generalize units and locations, avoid clinical inference, and minimize sensitive details.</t>
  </si>
  <si>
    <t>Reduces jargon in supportive conversations while maintaining privacy and non-clinical boundaries. Canonical category: Records.</t>
  </si>
  <si>
    <t>Use the accomplishment; omit rating codes unless required. Use the canonical wording to compare documented skills with fellowship criteria; do not infer qualifications from title alone and require human selection review.</t>
  </si>
  <si>
    <t>Improves evidence-based fellowship matching and avoids title-only or code-only screening. Canonical category: Records.</t>
  </si>
  <si>
    <t>Use the accomplishment; omit rating codes unless required. Use the canonical wording to match documented evidence to job requirements; exclude protected attributes and require human review for consequential hiring decisions.</t>
  </si>
  <si>
    <t>Improves consistent private-sector matching while keeping hiring judgments job-related and human-accountable. Canonical category: Records.</t>
  </si>
  <si>
    <t>Translate the specialty rather than listing only the code. Use the canonical wording, explain the military term once if helpful, and connect it to transition goals without adding duties or credentials.</t>
  </si>
  <si>
    <t>tblServiceTerms:Army|MOS</t>
  </si>
  <si>
    <t>Supports consistent demilitarization during intake and coordinated transition planning. Canonical category: Qualifications.</t>
  </si>
  <si>
    <t>Translate the specialty rather than listing only the code. Use the canonical wording only to clarify service evidence; do not infer benefit eligibility, rating, nexus, entitlement, or claim outcome.</t>
  </si>
  <si>
    <t>Makes service evidence understandable while preserving the boundary between explanation and VA adjudication. Canonical category: Qualifications.</t>
  </si>
  <si>
    <t>Translate the specialty rather than listing only the code. Use the canonical wording in civilian career materials and pair it with verified scope, metrics, tools, and outcomes where available.</t>
  </si>
  <si>
    <t>Converts military terminology into auditable civilian career language without overstating experience. Canonical category: Qualifications.</t>
  </si>
  <si>
    <t>Translate the specialty rather than listing only the code. Use the canonical wording for vocational analysis; distinguish demonstrated capability from functional limitation, diagnosis, eligibility, or plan approval.</t>
  </si>
  <si>
    <t>Supports vocational interpretation while reserving disability, eligibility, and rehabilitation decisions for authorized professionals. Canonical category: Qualifications.</t>
  </si>
  <si>
    <t>Translate the specialty rather than listing only the code. Use the canonical wording only for contextual understanding; generalize units and locations, avoid clinical inference, and minimize sensitive details.</t>
  </si>
  <si>
    <t>Reduces jargon in supportive conversations while maintaining privacy and non-clinical boundaries. Canonical category: Qualifications.</t>
  </si>
  <si>
    <t>Translate the specialty rather than listing only the code. Use the canonical wording to compare documented skills with fellowship criteria; do not infer qualifications from title alone and require human selection review.</t>
  </si>
  <si>
    <t>Improves evidence-based fellowship matching and avoids title-only or code-only screening. Canonical category: Qualifications.</t>
  </si>
  <si>
    <t>Translate the specialty rather than listing only the code. Use the canonical wording to match documented evidence to job requirements; exclude protected attributes and require human review for consequential hiring decisions.</t>
  </si>
  <si>
    <t>Improves consistent private-sector matching while keeping hiring judgments job-related and human-accountable. Canonical category: Qualifications.</t>
  </si>
  <si>
    <t>Translate to strategic planning, risk analysis, and alternatives development. Use the canonical wording, explain the military term once if helpful, and connect it to transition goals without adding duties or credentials.</t>
  </si>
  <si>
    <t>tblServiceTerms:Army|MDMP</t>
  </si>
  <si>
    <t>Supports consistent demilitarization during intake and coordinated transition planning. Canonical category: Planning.</t>
  </si>
  <si>
    <t>Translate to strategic planning, risk analysis, and alternatives development. Use the canonical wording only to clarify service evidence; do not infer benefit eligibility, rating, nexus, entitlement, or claim outcome.</t>
  </si>
  <si>
    <t>Makes service evidence understandable while preserving the boundary between explanation and VA adjudication. Canonical category: Planning.</t>
  </si>
  <si>
    <t>Translate to strategic planning, risk analysis, and alternatives development. Use the canonical wording in civilian career materials and pair it with verified scope, metrics, tools, and outcomes where available.</t>
  </si>
  <si>
    <t>Converts military terminology into auditable civilian career language without overstating experience. Canonical category: Planning.</t>
  </si>
  <si>
    <t>Translate to strategic planning, risk analysis, and alternatives development. Use the canonical wording for vocational analysis; distinguish demonstrated capability from functional limitation, diagnosis, eligibility, or plan approval.</t>
  </si>
  <si>
    <t>Supports vocational interpretation while reserving disability, eligibility, and rehabilitation decisions for authorized professionals. Canonical category: Planning.</t>
  </si>
  <si>
    <t>Translate to strategic planning, risk analysis, and alternatives development. Use the canonical wording only for contextual understanding; generalize units and locations, avoid clinical inference, and minimize sensitive details.</t>
  </si>
  <si>
    <t>Reduces jargon in supportive conversations while maintaining privacy and non-clinical boundaries. Canonical category: Planning.</t>
  </si>
  <si>
    <t>Translate to strategic planning, risk analysis, and alternatives development. Use the canonical wording to compare documented skills with fellowship criteria; do not infer qualifications from title alone and require human selection review.</t>
  </si>
  <si>
    <t>Improves evidence-based fellowship matching and avoids title-only or code-only screening. Canonical category: Planning.</t>
  </si>
  <si>
    <t>Translate to strategic planning, risk analysis, and alternatives development. Use the canonical wording to match documented evidence to job requirements; exclude protected attributes and require human review for consequential hiring decisions.</t>
  </si>
  <si>
    <t>Improves consistent private-sector matching while keeping hiring judgments job-related and human-accountable. Canonical category: Planning.</t>
  </si>
  <si>
    <t>Use evidence and outcomes rather than promotion recommendations. Use the canonical wording, explain the military term once if helpful, and connect it to transition goals without adding duties or credentials.</t>
  </si>
  <si>
    <t>tblServiceTerms:Navy|FITREP / EVAL</t>
  </si>
  <si>
    <t>Use evidence and outcomes rather than promotion recommendations. Use the canonical wording only to clarify service evidence; do not infer benefit eligibility, rating, nexus, entitlement, or claim outcome.</t>
  </si>
  <si>
    <t>Use evidence and outcomes rather than promotion recommendations. Use the canonical wording in civilian career materials and pair it with verified scope, metrics, tools, and outcomes where available.</t>
  </si>
  <si>
    <t>Use evidence and outcomes rather than promotion recommendations. Use the canonical wording for vocational analysis; distinguish demonstrated capability from functional limitation, diagnosis, eligibility, or plan approval.</t>
  </si>
  <si>
    <t>Use evidence and outcomes rather than promotion recommendations. Use the canonical wording only for contextual understanding; generalize units and locations, avoid clinical inference, and minimize sensitive details.</t>
  </si>
  <si>
    <t>Use evidence and outcomes rather than promotion recommendations. Use the canonical wording to compare documented skills with fellowship criteria; do not infer qualifications from title alone and require human selection review.</t>
  </si>
  <si>
    <t>Use evidence and outcomes rather than promotion recommendations. Use the canonical wording to match documented evidence to job requirements; exclude protected attributes and require human review for consequential hiring decisions.</t>
  </si>
  <si>
    <t>State team size, operational scope, and results. Use the canonical wording, explain the military term once if helpful, and connect it to transition goals without adding duties or credentials.</t>
  </si>
  <si>
    <t>tblServiceTerms:Navy|LPO</t>
  </si>
  <si>
    <t>State team size, operational scope, and results. Use the canonical wording only to clarify service evidence; do not infer benefit eligibility, rating, nexus, entitlement, or claim outcome.</t>
  </si>
  <si>
    <t>State team size, operational scope, and results. Use the canonical wording in civilian career materials and pair it with verified scope, metrics, tools, and outcomes where available.</t>
  </si>
  <si>
    <t>State team size, operational scope, and results. Use the canonical wording for vocational analysis; distinguish demonstrated capability from functional limitation, diagnosis, eligibility, or plan approval.</t>
  </si>
  <si>
    <t>State team size, operational scope, and results. Use the canonical wording only for contextual understanding; generalize units and locations, avoid clinical inference, and minimize sensitive details.</t>
  </si>
  <si>
    <t>State team size, operational scope, and results. Use the canonical wording to compare documented skills with fellowship criteria; do not infer qualifications from title alone and require human selection review.</t>
  </si>
  <si>
    <t>State team size, operational scope, and results. Use the canonical wording to match documented evidence to job requirements; exclude protected attributes and require human review for consequential hiring decisions.</t>
  </si>
  <si>
    <t>Emphasize workforce leadership and technical oversight. Use the canonical wording, explain the military term once if helpful, and connect it to transition goals without adding duties or credentials.</t>
  </si>
  <si>
    <t>tblServiceTerms:Navy|CPO</t>
  </si>
  <si>
    <t>Emphasize workforce leadership and technical oversight. Use the canonical wording only to clarify service evidence; do not infer benefit eligibility, rating, nexus, entitlement, or claim outcome.</t>
  </si>
  <si>
    <t>Emphasize workforce leadership and technical oversight. Use the canonical wording in civilian career materials and pair it with verified scope, metrics, tools, and outcomes where available.</t>
  </si>
  <si>
    <t>Emphasize workforce leadership and technical oversight. Use the canonical wording for vocational analysis; distinguish demonstrated capability from functional limitation, diagnosis, eligibility, or plan approval.</t>
  </si>
  <si>
    <t>Emphasize workforce leadership and technical oversight. Use the canonical wording only for contextual understanding; generalize units and locations, avoid clinical inference, and minimize sensitive details.</t>
  </si>
  <si>
    <t>Emphasize workforce leadership and technical oversight. Use the canonical wording to compare documented skills with fellowship criteria; do not infer qualifications from title alone and require human selection review.</t>
  </si>
  <si>
    <t>Emphasize workforce leadership and technical oversight. Use the canonical wording to match documented evidence to job requirements; exclude protected attributes and require human review for consequential hiring decisions.</t>
  </si>
  <si>
    <t>Translate the capability and tools, not only the code. Use the canonical wording, explain the military term once if helpful, and connect it to transition goals without adding duties or credentials.</t>
  </si>
  <si>
    <t>tblServiceTerms:Navy|NEC</t>
  </si>
  <si>
    <t>Translate the capability and tools, not only the code. Use the canonical wording only to clarify service evidence; do not infer benefit eligibility, rating, nexus, entitlement, or claim outcome.</t>
  </si>
  <si>
    <t>Translate the capability and tools, not only the code. Use the canonical wording in civilian career materials and pair it with verified scope, metrics, tools, and outcomes where available.</t>
  </si>
  <si>
    <t>Translate the capability and tools, not only the code. Use the canonical wording for vocational analysis; distinguish demonstrated capability from functional limitation, diagnosis, eligibility, or plan approval.</t>
  </si>
  <si>
    <t>Translate the capability and tools, not only the code. Use the canonical wording only for contextual understanding; generalize units and locations, avoid clinical inference, and minimize sensitive details.</t>
  </si>
  <si>
    <t>Translate the capability and tools, not only the code. Use the canonical wording to compare documented skills with fellowship criteria; do not infer qualifications from title alone and require human selection review.</t>
  </si>
  <si>
    <t>Translate the capability and tools, not only the code. Use the canonical wording to match documented evidence to job requirements; exclude protected attributes and require human review for consequential hiring decisions.</t>
  </si>
  <si>
    <t>Describe verified competencies and qualification scope. Use the canonical wording, explain the military term once if helpful, and connect it to transition goals without adding duties or credentials.</t>
  </si>
  <si>
    <t>tblServiceTerms:Navy|PQS</t>
  </si>
  <si>
    <t>Supports consistent demilitarization during intake and coordinated transition planning. Canonical category: Training.</t>
  </si>
  <si>
    <t>Describe verified competencies and qualification scope. Use the canonical wording only to clarify service evidence; do not infer benefit eligibility, rating, nexus, entitlement, or claim outcome.</t>
  </si>
  <si>
    <t>Makes service evidence understandable while preserving the boundary between explanation and VA adjudication. Canonical category: Training.</t>
  </si>
  <si>
    <t>Describe verified competencies and qualification scope. Use the canonical wording in civilian career materials and pair it with verified scope, metrics, tools, and outcomes where available.</t>
  </si>
  <si>
    <t>Converts military terminology into auditable civilian career language without overstating experience. Canonical category: Training.</t>
  </si>
  <si>
    <t>Describe verified competencies and qualification scope. Use the canonical wording for vocational analysis; distinguish demonstrated capability from functional limitation, diagnosis, eligibility, or plan approval.</t>
  </si>
  <si>
    <t>Supports vocational interpretation while reserving disability, eligibility, and rehabilitation decisions for authorized professionals. Canonical category: Training.</t>
  </si>
  <si>
    <t>Describe verified competencies and qualification scope. Use the canonical wording only for contextual understanding; generalize units and locations, avoid clinical inference, and minimize sensitive details.</t>
  </si>
  <si>
    <t>Reduces jargon in supportive conversations while maintaining privacy and non-clinical boundaries. Canonical category: Training.</t>
  </si>
  <si>
    <t>Describe verified competencies and qualification scope. Use the canonical wording to compare documented skills with fellowship criteria; do not infer qualifications from title alone and require human selection review.</t>
  </si>
  <si>
    <t>Improves evidence-based fellowship matching and avoids title-only or code-only screening. Canonical category: Training.</t>
  </si>
  <si>
    <t>Describe verified competencies and qualification scope. Use the canonical wording to match documented evidence to job requirements; exclude protected attributes and require human review for consequential hiring decisions.</t>
  </si>
  <si>
    <t>Improves consistent private-sector matching while keeping hiring judgments job-related and human-accountable. Canonical category: Training.</t>
  </si>
  <si>
    <t>Translate observed performance into measurable civilian outcomes. Use the canonical wording, explain the military term once if helpful, and connect it to transition goals without adding duties or credentials.</t>
  </si>
  <si>
    <t>tblServiceTerms:Marine Corps|FITREP</t>
  </si>
  <si>
    <t>Translate observed performance into measurable civilian outcomes. Use the canonical wording only to clarify service evidence; do not infer benefit eligibility, rating, nexus, entitlement, or claim outcome.</t>
  </si>
  <si>
    <t>Translate observed performance into measurable civilian outcomes. Use the canonical wording in civilian career materials and pair it with verified scope, metrics, tools, and outcomes where available.</t>
  </si>
  <si>
    <t>Translate observed performance into measurable civilian outcomes. Use the canonical wording for vocational analysis; distinguish demonstrated capability from functional limitation, diagnosis, eligibility, or plan approval.</t>
  </si>
  <si>
    <t>Translate observed performance into measurable civilian outcomes. Use the canonical wording only for contextual understanding; generalize units and locations, avoid clinical inference, and minimize sensitive details.</t>
  </si>
  <si>
    <t>Translate observed performance into measurable civilian outcomes. Use the canonical wording to compare documented skills with fellowship criteria; do not infer qualifications from title alone and require human selection review.</t>
  </si>
  <si>
    <t>Translate observed performance into measurable civilian outcomes. Use the canonical wording to match documented evidence to job requirements; exclude protected attributes and require human review for consequential hiring decisions.</t>
  </si>
  <si>
    <t>Use a civilian function and relevant technical skills. Use the canonical wording, explain the military term once if helpful, and connect it to transition goals without adding duties or credentials.</t>
  </si>
  <si>
    <t>tblServiceTerms:Marine Corps|MOS</t>
  </si>
  <si>
    <t>Use a civilian function and relevant technical skills. Use the canonical wording only to clarify service evidence; do not infer benefit eligibility, rating, nexus, entitlement, or claim outcome.</t>
  </si>
  <si>
    <t>Use a civilian function and relevant technical skills. Use the canonical wording in civilian career materials and pair it with verified scope, metrics, tools, and outcomes where available.</t>
  </si>
  <si>
    <t>Use a civilian function and relevant technical skills. Use the canonical wording for vocational analysis; distinguish demonstrated capability from functional limitation, diagnosis, eligibility, or plan approval.</t>
  </si>
  <si>
    <t>Use a civilian function and relevant technical skills. Use the canonical wording only for contextual understanding; generalize units and locations, avoid clinical inference, and minimize sensitive details.</t>
  </si>
  <si>
    <t>Use a civilian function and relevant technical skills. Use the canonical wording to compare documented skills with fellowship criteria; do not infer qualifications from title alone and require human selection review.</t>
  </si>
  <si>
    <t>Use a civilian function and relevant technical skills. Use the canonical wording to match documented evidence to job requirements; exclude protected attributes and require human review for consequential hiring decisions.</t>
  </si>
  <si>
    <t>Quantify personnel, resources, and operational impact. Use the canonical wording, explain the military term once if helpful, and connect it to transition goals without adding duties or credentials.</t>
  </si>
  <si>
    <t>tblServiceTerms:Marine Corps|SNCOIC</t>
  </si>
  <si>
    <t>Quantify personnel, resources, and operational impact. Use the canonical wording only to clarify service evidence; do not infer benefit eligibility, rating, nexus, entitlement, or claim outcome.</t>
  </si>
  <si>
    <t>Quantify personnel, resources, and operational impact. Use the canonical wording in civilian career materials and pair it with verified scope, metrics, tools, and outcomes where available.</t>
  </si>
  <si>
    <t>Quantify personnel, resources, and operational impact. Use the canonical wording for vocational analysis; distinguish demonstrated capability from functional limitation, diagnosis, eligibility, or plan approval.</t>
  </si>
  <si>
    <t>Quantify personnel, resources, and operational impact. Use the canonical wording only for contextual understanding; generalize units and locations, avoid clinical inference, and minimize sensitive details.</t>
  </si>
  <si>
    <t>Quantify personnel, resources, and operational impact. Use the canonical wording to compare documented skills with fellowship criteria; do not infer qualifications from title alone and require human selection review.</t>
  </si>
  <si>
    <t>Quantify personnel, resources, and operational impact. Use the canonical wording to match documented evidence to job requirements; exclude protected attributes and require human review for consequential hiring decisions.</t>
  </si>
  <si>
    <t>Name the practical capability gained. Use the canonical wording, explain the military term once if helpful, and connect it to transition goals without adding duties or credentials.</t>
  </si>
  <si>
    <t>tblServiceTerms:Marine Corps|MCI / MarineNet</t>
  </si>
  <si>
    <t>Supports consistent demilitarization during intake and coordinated transition planning. Canonical category: Education.</t>
  </si>
  <si>
    <t>Name the practical capability gained. Use the canonical wording only to clarify service evidence; do not infer benefit eligibility, rating, nexus, entitlement, or claim outcome.</t>
  </si>
  <si>
    <t>Makes service evidence understandable while preserving the boundary between explanation and VA adjudication. Canonical category: Education.</t>
  </si>
  <si>
    <t>Name the practical capability gained. Use the canonical wording in civilian career materials and pair it with verified scope, metrics, tools, and outcomes where available.</t>
  </si>
  <si>
    <t>Converts military terminology into auditable civilian career language without overstating experience. Canonical category: Education.</t>
  </si>
  <si>
    <t>Name the practical capability gained. Use the canonical wording for vocational analysis; distinguish demonstrated capability from functional limitation, diagnosis, eligibility, or plan approval.</t>
  </si>
  <si>
    <t>Supports vocational interpretation while reserving disability, eligibility, and rehabilitation decisions for authorized professionals. Canonical category: Education.</t>
  </si>
  <si>
    <t>Name the practical capability gained. Use the canonical wording only for contextual understanding; generalize units and locations, avoid clinical inference, and minimize sensitive details.</t>
  </si>
  <si>
    <t>Reduces jargon in supportive conversations while maintaining privacy and non-clinical boundaries. Canonical category: Education.</t>
  </si>
  <si>
    <t>Name the practical capability gained. Use the canonical wording to compare documented skills with fellowship criteria; do not infer qualifications from title alone and require human selection review.</t>
  </si>
  <si>
    <t>Improves evidence-based fellowship matching and avoids title-only or code-only screening. Canonical category: Education.</t>
  </si>
  <si>
    <t>Name the practical capability gained. Use the canonical wording to match documented evidence to job requirements; exclude protected attributes and require human review for consequential hiring decisions.</t>
  </si>
  <si>
    <t>Improves consistent private-sector matching while keeping hiring judgments job-related and human-accountable. Canonical category: Education.</t>
  </si>
  <si>
    <t>Describe coordination across multiple functional teams. Use the canonical wording, explain the military term once if helpful, and connect it to transition goals without adding duties or credentials.</t>
  </si>
  <si>
    <t>tblServiceTerms:Marine Corps|MAGTF</t>
  </si>
  <si>
    <t>Supports consistent demilitarization during intake and coordinated transition planning. Canonical category: Operations.</t>
  </si>
  <si>
    <t>Describe coordination across multiple functional teams. Use the canonical wording only to clarify service evidence; do not infer benefit eligibility, rating, nexus, entitlement, or claim outcome.</t>
  </si>
  <si>
    <t>Makes service evidence understandable while preserving the boundary between explanation and VA adjudication. Canonical category: Operations.</t>
  </si>
  <si>
    <t>Describe coordination across multiple functional teams. Use the canonical wording in civilian career materials and pair it with verified scope, metrics, tools, and outcomes where available.</t>
  </si>
  <si>
    <t>Converts military terminology into auditable civilian career language without overstating experience. Canonical category: Operations.</t>
  </si>
  <si>
    <t>Describe coordination across multiple functional teams. Use the canonical wording for vocational analysis; distinguish demonstrated capability from functional limitation, diagnosis, eligibility, or plan approval.</t>
  </si>
  <si>
    <t>Supports vocational interpretation while reserving disability, eligibility, and rehabilitation decisions for authorized professionals. Canonical category: Operations.</t>
  </si>
  <si>
    <t>Describe coordination across multiple functional teams. Use the canonical wording only for contextual understanding; generalize units and locations, avoid clinical inference, and minimize sensitive details.</t>
  </si>
  <si>
    <t>Reduces jargon in supportive conversations while maintaining privacy and non-clinical boundaries. Canonical category: Operations.</t>
  </si>
  <si>
    <t>Describe coordination across multiple functional teams. Use the canonical wording to compare documented skills with fellowship criteria; do not infer qualifications from title alone and require human selection review.</t>
  </si>
  <si>
    <t>Improves evidence-based fellowship matching and avoids title-only or code-only screening. Canonical category: Operations.</t>
  </si>
  <si>
    <t>Describe coordination across multiple functional teams. Use the canonical wording to match documented evidence to job requirements; exclude protected attributes and require human review for consequential hiring decisions.</t>
  </si>
  <si>
    <t>Improves consistent private-sector matching while keeping hiring judgments job-related and human-accountable. Canonical category: Operations.</t>
  </si>
  <si>
    <t>Translate performance statements into action, scope, and result. Use the canonical wording, explain the military term once if helpful, and connect it to transition goals without adding duties or credentials.</t>
  </si>
  <si>
    <t>tblServiceTerms:Air Force|EPB / OPB</t>
  </si>
  <si>
    <t>Translate performance statements into action, scope, and result. Use the canonical wording only to clarify service evidence; do not infer benefit eligibility, rating, nexus, entitlement, or claim outcome.</t>
  </si>
  <si>
    <t>Translate performance statements into action, scope, and result. Use the canonical wording in civilian career materials and pair it with verified scope, metrics, tools, and outcomes where available.</t>
  </si>
  <si>
    <t>Translate performance statements into action, scope, and result. Use the canonical wording for vocational analysis; distinguish demonstrated capability from functional limitation, diagnosis, eligibility, or plan approval.</t>
  </si>
  <si>
    <t>Translate performance statements into action, scope, and result. Use the canonical wording only for contextual understanding; generalize units and locations, avoid clinical inference, and minimize sensitive details.</t>
  </si>
  <si>
    <t>Translate performance statements into action, scope, and result. Use the canonical wording to compare documented skills with fellowship criteria; do not infer qualifications from title alone and require human selection review.</t>
  </si>
  <si>
    <t>Translate performance statements into action, scope, and result. Use the canonical wording to match documented evidence to job requirements; exclude protected attributes and require human review for consequential hiring decisions.</t>
  </si>
  <si>
    <t>Translate to the civilian discipline and tools used. Use the canonical wording, explain the military term once if helpful, and connect it to transition goals without adding duties or credentials.</t>
  </si>
  <si>
    <t>tblServiceTerms:Air Force|AFSC</t>
  </si>
  <si>
    <t>Translate to the civilian discipline and tools used. Use the canonical wording only to clarify service evidence; do not infer benefit eligibility, rating, nexus, entitlement, or claim outcome.</t>
  </si>
  <si>
    <t>Translate to the civilian discipline and tools used. Use the canonical wording in civilian career materials and pair it with verified scope, metrics, tools, and outcomes where available.</t>
  </si>
  <si>
    <t>Translate to the civilian discipline and tools used. Use the canonical wording for vocational analysis; distinguish demonstrated capability from functional limitation, diagnosis, eligibility, or plan approval.</t>
  </si>
  <si>
    <t>Translate to the civilian discipline and tools used. Use the canonical wording only for contextual understanding; generalize units and locations, avoid clinical inference, and minimize sensitive details.</t>
  </si>
  <si>
    <t>Translate to the civilian discipline and tools used. Use the canonical wording to compare documented skills with fellowship criteria; do not infer qualifications from title alone and require human selection review.</t>
  </si>
  <si>
    <t>Translate to the civilian discipline and tools used. Use the canonical wording to match documented evidence to job requirements; exclude protected attributes and require human review for consequential hiring decisions.</t>
  </si>
  <si>
    <t>Include team scale, responsibility, and performance effect. Use the canonical wording, explain the military term once if helpful, and connect it to transition goals without adding duties or credentials.</t>
  </si>
  <si>
    <t>tblServiceTerms:Air Force|NCOIC</t>
  </si>
  <si>
    <t>Include team scale, responsibility, and performance effect. Use the canonical wording only to clarify service evidence; do not infer benefit eligibility, rating, nexus, entitlement, or claim outcome.</t>
  </si>
  <si>
    <t>Include team scale, responsibility, and performance effect. Use the canonical wording in civilian career materials and pair it with verified scope, metrics, tools, and outcomes where available.</t>
  </si>
  <si>
    <t>Include team scale, responsibility, and performance effect. Use the canonical wording for vocational analysis; distinguish demonstrated capability from functional limitation, diagnosis, eligibility, or plan approval.</t>
  </si>
  <si>
    <t>Include team scale, responsibility, and performance effect. Use the canonical wording only for contextual understanding; generalize units and locations, avoid clinical inference, and minimize sensitive details.</t>
  </si>
  <si>
    <t>Include team scale, responsibility, and performance effect. Use the canonical wording to compare documented skills with fellowship criteria; do not infer qualifications from title alone and require human selection review.</t>
  </si>
  <si>
    <t>Include team scale, responsibility, and performance effect. Use the canonical wording to match documented evidence to job requirements; exclude protected attributes and require human review for consequential hiring decisions.</t>
  </si>
  <si>
    <t>Explain governance, compliance, or process ownership. Use the canonical wording, explain the military term once if helpful, and connect it to transition goals without adding duties or credentials.</t>
  </si>
  <si>
    <t>tblServiceTerms:Air Force|Additional Duty</t>
  </si>
  <si>
    <t>Supports consistent demilitarization during intake and coordinated transition planning. Canonical category: Program Management.</t>
  </si>
  <si>
    <t>Explain governance, compliance, or process ownership. Use the canonical wording only to clarify service evidence; do not infer benefit eligibility, rating, nexus, entitlement, or claim outcome.</t>
  </si>
  <si>
    <t>Makes service evidence understandable while preserving the boundary between explanation and VA adjudication. Canonical category: Program Management.</t>
  </si>
  <si>
    <t>Explain governance, compliance, or process ownership. Use the canonical wording in civilian career materials and pair it with verified scope, metrics, tools, and outcomes where available.</t>
  </si>
  <si>
    <t>Converts military terminology into auditable civilian career language without overstating experience. Canonical category: Program Management.</t>
  </si>
  <si>
    <t>Explain governance, compliance, or process ownership. Use the canonical wording for vocational analysis; distinguish demonstrated capability from functional limitation, diagnosis, eligibility, or plan approval.</t>
  </si>
  <si>
    <t>Supports vocational interpretation while reserving disability, eligibility, and rehabilitation decisions for authorized professionals. Canonical category: Program Management.</t>
  </si>
  <si>
    <t>Explain governance, compliance, or process ownership. Use the canonical wording only for contextual understanding; generalize units and locations, avoid clinical inference, and minimize sensitive details.</t>
  </si>
  <si>
    <t>Reduces jargon in supportive conversations while maintaining privacy and non-clinical boundaries. Canonical category: Program Management.</t>
  </si>
  <si>
    <t>Explain governance, compliance, or process ownership. Use the canonical wording to compare documented skills with fellowship criteria; do not infer qualifications from title alone and require human selection review.</t>
  </si>
  <si>
    <t>Improves evidence-based fellowship matching and avoids title-only or code-only screening. Canonical category: Program Management.</t>
  </si>
  <si>
    <t>Explain governance, compliance, or process ownership. Use the canonical wording to match documented evidence to job requirements; exclude protected attributes and require human review for consequential hiring decisions.</t>
  </si>
  <si>
    <t>Improves consistent private-sector matching while keeping hiring judgments job-related and human-accountable. Canonical category: Program Management.</t>
  </si>
  <si>
    <t>Translate to throughput, availability, and coordination metrics. Use the canonical wording, explain the military term once if helpful, and connect it to transition goals without adding duties or credentials.</t>
  </si>
  <si>
    <t>tblServiceTerms:Air Force|Sortie Generation</t>
  </si>
  <si>
    <t>Translate to throughput, availability, and coordination metrics. Use the canonical wording only to clarify service evidence; do not infer benefit eligibility, rating, nexus, entitlement, or claim outcome.</t>
  </si>
  <si>
    <t>Translate to throughput, availability, and coordination metrics. Use the canonical wording in civilian career materials and pair it with verified scope, metrics, tools, and outcomes where available.</t>
  </si>
  <si>
    <t>Translate to throughput, availability, and coordination metrics. Use the canonical wording for vocational analysis; distinguish demonstrated capability from functional limitation, diagnosis, eligibility, or plan approval.</t>
  </si>
  <si>
    <t>Translate to throughput, availability, and coordination metrics. Use the canonical wording only for contextual understanding; generalize units and locations, avoid clinical inference, and minimize sensitive details.</t>
  </si>
  <si>
    <t>Translate to throughput, availability, and coordination metrics. Use the canonical wording to compare documented skills with fellowship criteria; do not infer qualifications from title alone and require human selection review.</t>
  </si>
  <si>
    <t>Translate to throughput, availability, and coordination metrics. Use the canonical wording to match documented evidence to job requirements; exclude protected attributes and require human review for consequential hiring decisions.</t>
  </si>
  <si>
    <t>Use mission effects and measurable capability outcomes. Use the canonical wording, explain the military term once if helpful, and connect it to transition goals without adding duties or credentials.</t>
  </si>
  <si>
    <t>tblServiceTerms:Space Force|EPB / OPB</t>
  </si>
  <si>
    <t>Use mission effects and measurable capability outcomes. Use the canonical wording only to clarify service evidence; do not infer benefit eligibility, rating, nexus, entitlement, or claim outcome.</t>
  </si>
  <si>
    <t>Use mission effects and measurable capability outcomes. Use the canonical wording in civilian career materials and pair it with verified scope, metrics, tools, and outcomes where available.</t>
  </si>
  <si>
    <t>Use mission effects and measurable capability outcomes. Use the canonical wording for vocational analysis; distinguish demonstrated capability from functional limitation, diagnosis, eligibility, or plan approval.</t>
  </si>
  <si>
    <t>Use mission effects and measurable capability outcomes. Use the canonical wording only for contextual understanding; generalize units and locations, avoid clinical inference, and minimize sensitive details.</t>
  </si>
  <si>
    <t>Use mission effects and measurable capability outcomes. Use the canonical wording to compare documented skills with fellowship criteria; do not infer qualifications from title alone and require human selection review.</t>
  </si>
  <si>
    <t>Use mission effects and measurable capability outcomes. Use the canonical wording to match documented evidence to job requirements; exclude protected attributes and require human review for consequential hiring decisions.</t>
  </si>
  <si>
    <t>Translate to the civilian technical or operational discipline. Use the canonical wording, explain the military term once if helpful, and connect it to transition goals without adding duties or credentials.</t>
  </si>
  <si>
    <t>tblServiceTerms:Space Force|SFSC</t>
  </si>
  <si>
    <t>Translate to the civilian technical or operational discipline. Use the canonical wording only to clarify service evidence; do not infer benefit eligibility, rating, nexus, entitlement, or claim outcome.</t>
  </si>
  <si>
    <t>Translate to the civilian technical or operational discipline. Use the canonical wording in civilian career materials and pair it with verified scope, metrics, tools, and outcomes where available.</t>
  </si>
  <si>
    <t>Translate to the civilian technical or operational discipline. Use the canonical wording for vocational analysis; distinguish demonstrated capability from functional limitation, diagnosis, eligibility, or plan approval.</t>
  </si>
  <si>
    <t>Translate to the civilian technical or operational discipline. Use the canonical wording only for contextual understanding; generalize units and locations, avoid clinical inference, and minimize sensitive details.</t>
  </si>
  <si>
    <t>Translate to the civilian technical or operational discipline. Use the canonical wording to compare documented skills with fellowship criteria; do not infer qualifications from title alone and require human selection review.</t>
  </si>
  <si>
    <t>Translate to the civilian technical or operational discipline. Use the canonical wording to match documented evidence to job requirements; exclude protected attributes and require human review for consequential hiring decisions.</t>
  </si>
  <si>
    <t>Use the role or profession rather than the service title when appropriate. Use the canonical wording, explain the military term once if helpful, and connect it to transition goals without adding duties or credentials.</t>
  </si>
  <si>
    <t>tblServiceTerms:Space Force|Guardian</t>
  </si>
  <si>
    <t>Supports consistent demilitarization during intake and coordinated transition planning. Canonical category: Identity.</t>
  </si>
  <si>
    <t>Use the role or profession rather than the service title when appropriate. Use the canonical wording only to clarify service evidence; do not infer benefit eligibility, rating, nexus, entitlement, or claim outcome.</t>
  </si>
  <si>
    <t>Makes service evidence understandable while preserving the boundary between explanation and VA adjudication. Canonical category: Identity.</t>
  </si>
  <si>
    <t>Use the role or profession rather than the service title when appropriate. Use the canonical wording in civilian career materials and pair it with verified scope, metrics, tools, and outcomes where available.</t>
  </si>
  <si>
    <t>Converts military terminology into auditable civilian career language without overstating experience. Canonical category: Identity.</t>
  </si>
  <si>
    <t>Use the role or profession rather than the service title when appropriate. Use the canonical wording for vocational analysis; distinguish demonstrated capability from functional limitation, diagnosis, eligibility, or plan approval.</t>
  </si>
  <si>
    <t>Supports vocational interpretation while reserving disability, eligibility, and rehabilitation decisions for authorized professionals. Canonical category: Identity.</t>
  </si>
  <si>
    <t>Use the role or profession rather than the service title when appropriate. Use the canonical wording only for contextual understanding; generalize units and locations, avoid clinical inference, and minimize sensitive details.</t>
  </si>
  <si>
    <t>Reduces jargon in supportive conversations while maintaining privacy and non-clinical boundaries. Canonical category: Identity.</t>
  </si>
  <si>
    <t>Use the role or profession rather than the service title when appropriate. Use the canonical wording to compare documented skills with fellowship criteria; do not infer qualifications from title alone and require human selection review.</t>
  </si>
  <si>
    <t>Improves evidence-based fellowship matching and avoids title-only or code-only screening. Canonical category: Identity.</t>
  </si>
  <si>
    <t>Use the role or profession rather than the service title when appropriate. Use the canonical wording to match documented evidence to job requirements; exclude protected attributes and require human review for consequential hiring decisions.</t>
  </si>
  <si>
    <t>Improves consistent private-sector matching while keeping hiring judgments job-related and human-accountable. Canonical category: Identity.</t>
  </si>
  <si>
    <t>Describe data analysis, risk detection, and decision support. Use the canonical wording, explain the military term once if helpful, and connect it to transition goals without adding duties or credentials.</t>
  </si>
  <si>
    <t>tblServiceTerms:Space Force|Space Domain Awareness</t>
  </si>
  <si>
    <t>Supports consistent demilitarization during intake and coordinated transition planning. Canonical category: Analytics.</t>
  </si>
  <si>
    <t>Describe data analysis, risk detection, and decision support. Use the canonical wording only to clarify service evidence; do not infer benefit eligibility, rating, nexus, entitlement, or claim outcome.</t>
  </si>
  <si>
    <t>Makes service evidence understandable while preserving the boundary between explanation and VA adjudication. Canonical category: Analytics.</t>
  </si>
  <si>
    <t>Describe data analysis, risk detection, and decision support. Use the canonical wording in civilian career materials and pair it with verified scope, metrics, tools, and outcomes where available.</t>
  </si>
  <si>
    <t>Converts military terminology into auditable civilian career language without overstating experience. Canonical category: Analytics.</t>
  </si>
  <si>
    <t>Describe data analysis, risk detection, and decision support. Use the canonical wording for vocational analysis; distinguish demonstrated capability from functional limitation, diagnosis, eligibility, or plan approval.</t>
  </si>
  <si>
    <t>Supports vocational interpretation while reserving disability, eligibility, and rehabilitation decisions for authorized professionals. Canonical category: Analytics.</t>
  </si>
  <si>
    <t>Describe data analysis, risk detection, and decision support. Use the canonical wording only for contextual understanding; generalize units and locations, avoid clinical inference, and minimize sensitive details.</t>
  </si>
  <si>
    <t>Reduces jargon in supportive conversations while maintaining privacy and non-clinical boundaries. Canonical category: Analytics.</t>
  </si>
  <si>
    <t>Describe data analysis, risk detection, and decision support. Use the canonical wording to compare documented skills with fellowship criteria; do not infer qualifications from title alone and require human selection review.</t>
  </si>
  <si>
    <t>Improves evidence-based fellowship matching and avoids title-only or code-only screening. Canonical category: Analytics.</t>
  </si>
  <si>
    <t>Describe data analysis, risk detection, and decision support. Use the canonical wording to match documented evidence to job requirements; exclude protected attributes and require human review for consequential hiring decisions.</t>
  </si>
  <si>
    <t>Improves consistent private-sector matching while keeping hiring judgments job-related and human-accountable. Canonical category: Analytics.</t>
  </si>
  <si>
    <t>Describe the functional mission and cross-team scope. Use the canonical wording, explain the military term once if helpful, and connect it to transition goals without adding duties or credentials.</t>
  </si>
  <si>
    <t>tblServiceTerms:Space Force|Mission Delta</t>
  </si>
  <si>
    <t>Describe the functional mission and cross-team scope. Use the canonical wording only to clarify service evidence; do not infer benefit eligibility, rating, nexus, entitlement, or claim outcome.</t>
  </si>
  <si>
    <t>Describe the functional mission and cross-team scope. Use the canonical wording in civilian career materials and pair it with verified scope, metrics, tools, and outcomes where available.</t>
  </si>
  <si>
    <t>Describe the functional mission and cross-team scope. Use the canonical wording for vocational analysis; distinguish demonstrated capability from functional limitation, diagnosis, eligibility, or plan approval.</t>
  </si>
  <si>
    <t>Describe the functional mission and cross-team scope. Use the canonical wording only for contextual understanding; generalize units and locations, avoid clinical inference, and minimize sensitive details.</t>
  </si>
  <si>
    <t>Describe the functional mission and cross-team scope. Use the canonical wording to compare documented skills with fellowship criteria; do not infer qualifications from title alone and require human selection review.</t>
  </si>
  <si>
    <t>Describe the functional mission and cross-team scope. Use the canonical wording to match documented evidence to job requirements; exclude protected attributes and require human review for consequential hiring decisions.</t>
  </si>
  <si>
    <t>Translate competencies and outcomes into civilian evidence. Use the canonical wording, explain the military term once if helpful, and connect it to transition goals without adding duties or credentials.</t>
  </si>
  <si>
    <t>tblServiceTerms:Coast Guard|EER / OER</t>
  </si>
  <si>
    <t>Translate competencies and outcomes into civilian evidence. Use the canonical wording only to clarify service evidence; do not infer benefit eligibility, rating, nexus, entitlement, or claim outcome.</t>
  </si>
  <si>
    <t>Translate competencies and outcomes into civilian evidence. Use the canonical wording in civilian career materials and pair it with verified scope, metrics, tools, and outcomes where available.</t>
  </si>
  <si>
    <t>Translate competencies and outcomes into civilian evidence. Use the canonical wording for vocational analysis; distinguish demonstrated capability from functional limitation, diagnosis, eligibility, or plan approval.</t>
  </si>
  <si>
    <t>Translate competencies and outcomes into civilian evidence. Use the canonical wording only for contextual understanding; generalize units and locations, avoid clinical inference, and minimize sensitive details.</t>
  </si>
  <si>
    <t>Translate competencies and outcomes into civilian evidence. Use the canonical wording to compare documented skills with fellowship criteria; do not infer qualifications from title alone and require human selection review.</t>
  </si>
  <si>
    <t>Translate competencies and outcomes into civilian evidence. Use the canonical wording to match documented evidence to job requirements; exclude protected attributes and require human review for consequential hiring decisions.</t>
  </si>
  <si>
    <t>Translate the specialty into a civilian functional area. Use the canonical wording, explain the military term once if helpful, and connect it to transition goals without adding duties or credentials.</t>
  </si>
  <si>
    <t>tblServiceTerms:Coast Guard|Rating</t>
  </si>
  <si>
    <t>Translate the specialty into a civilian functional area. Use the canonical wording only to clarify service evidence; do not infer benefit eligibility, rating, nexus, entitlement, or claim outcome.</t>
  </si>
  <si>
    <t>Translate the specialty into a civilian functional area. Use the canonical wording in civilian career materials and pair it with verified scope, metrics, tools, and outcomes where available.</t>
  </si>
  <si>
    <t>Translate the specialty into a civilian functional area. Use the canonical wording for vocational analysis; distinguish demonstrated capability from functional limitation, diagnosis, eligibility, or plan approval.</t>
  </si>
  <si>
    <t>Translate the specialty into a civilian functional area. Use the canonical wording only for contextual understanding; generalize units and locations, avoid clinical inference, and minimize sensitive details.</t>
  </si>
  <si>
    <t>Translate the specialty into a civilian functional area. Use the canonical wording to compare documented skills with fellowship criteria; do not infer qualifications from title alone and require human selection review.</t>
  </si>
  <si>
    <t>Translate the specialty into a civilian functional area. Use the canonical wording to match documented evidence to job requirements; exclude protected attributes and require human review for consequential hiring decisions.</t>
  </si>
  <si>
    <t>State authority, personnel, assets, and mission scope. Use the canonical wording, explain the military term once if helpful, and connect it to transition goals without adding duties or credentials.</t>
  </si>
  <si>
    <t>tblServiceTerms:Coast Guard|OIC</t>
  </si>
  <si>
    <t>State authority, personnel, assets, and mission scope. Use the canonical wording only to clarify service evidence; do not infer benefit eligibility, rating, nexus, entitlement, or claim outcome.</t>
  </si>
  <si>
    <t>State authority, personnel, assets, and mission scope. Use the canonical wording in civilian career materials and pair it with verified scope, metrics, tools, and outcomes where available.</t>
  </si>
  <si>
    <t>State authority, personnel, assets, and mission scope. Use the canonical wording for vocational analysis; distinguish demonstrated capability from functional limitation, diagnosis, eligibility, or plan approval.</t>
  </si>
  <si>
    <t>State authority, personnel, assets, and mission scope. Use the canonical wording only for contextual understanding; generalize units and locations, avoid clinical inference, and minimize sensitive details.</t>
  </si>
  <si>
    <t>State authority, personnel, assets, and mission scope. Use the canonical wording to compare documented skills with fellowship criteria; do not infer qualifications from title alone and require human selection review.</t>
  </si>
  <si>
    <t>State authority, personnel, assets, and mission scope. Use the canonical wording to match documented evidence to job requirements; exclude protected attributes and require human review for consequential hiring decisions.</t>
  </si>
  <si>
    <t>Emphasize command responsibility, safety, and crew coordination. Use the canonical wording, explain the military term once if helpful, and connect it to transition goals without adding duties or credentials.</t>
  </si>
  <si>
    <t>tblServiceTerms:Coast Guard|Coxswain</t>
  </si>
  <si>
    <t>Emphasize command responsibility, safety, and crew coordination. Use the canonical wording only to clarify service evidence; do not infer benefit eligibility, rating, nexus, entitlement, or claim outcome.</t>
  </si>
  <si>
    <t>Emphasize command responsibility, safety, and crew coordination. Use the canonical wording in civilian career materials and pair it with verified scope, metrics, tools, and outcomes where available.</t>
  </si>
  <si>
    <t>Emphasize command responsibility, safety, and crew coordination. Use the canonical wording for vocational analysis; distinguish demonstrated capability from functional limitation, diagnosis, eligibility, or plan approval.</t>
  </si>
  <si>
    <t>Emphasize command responsibility, safety, and crew coordination. Use the canonical wording only for contextual understanding; generalize units and locations, avoid clinical inference, and minimize sensitive details.</t>
  </si>
  <si>
    <t>Emphasize command responsibility, safety, and crew coordination. Use the canonical wording to compare documented skills with fellowship criteria; do not infer qualifications from title alone and require human selection review.</t>
  </si>
  <si>
    <t>Emphasize command responsibility, safety, and crew coordination. Use the canonical wording to match documented evidence to job requirements; exclude protected attributes and require human review for consequential hiring decisions.</t>
  </si>
  <si>
    <t>Translate to emergency response, risk management, and coordination. Use the canonical wording, explain the military term once if helpful, and connect it to transition goals without adding duties or credentials.</t>
  </si>
  <si>
    <t>tblServiceTerms:Coast Guard|SAR</t>
  </si>
  <si>
    <t>Supports consistent demilitarization during intake and coordinated transition planning. Canonical category: Emergency Management.</t>
  </si>
  <si>
    <t>Translate to emergency response, risk management, and coordination. Use the canonical wording only to clarify service evidence; do not infer benefit eligibility, rating, nexus, entitlement, or claim outcome.</t>
  </si>
  <si>
    <t>Makes service evidence understandable while preserving the boundary between explanation and VA adjudication. Canonical category: Emergency Management.</t>
  </si>
  <si>
    <t>Translate to emergency response, risk management, and coordination. Use the canonical wording in civilian career materials and pair it with verified scope, metrics, tools, and outcomes where available.</t>
  </si>
  <si>
    <t>Converts military terminology into auditable civilian career language without overstating experience. Canonical category: Emergency Management.</t>
  </si>
  <si>
    <t>Translate to emergency response, risk management, and coordination. Use the canonical wording for vocational analysis; distinguish demonstrated capability from functional limitation, diagnosis, eligibility, or plan approval.</t>
  </si>
  <si>
    <t>Supports vocational interpretation while reserving disability, eligibility, and rehabilitation decisions for authorized professionals. Canonical category: Emergency Management.</t>
  </si>
  <si>
    <t>Translate to emergency response, risk management, and coordination. Use the canonical wording only for contextual understanding; generalize units and locations, avoid clinical inference, and minimize sensitive details.</t>
  </si>
  <si>
    <t>Reduces jargon in supportive conversations while maintaining privacy and non-clinical boundaries. Canonical category: Emergency Management.</t>
  </si>
  <si>
    <t>Translate to emergency response, risk management, and coordination. Use the canonical wording to compare documented skills with fellowship criteria; do not infer qualifications from title alone and require human selection review.</t>
  </si>
  <si>
    <t>Improves evidence-based fellowship matching and avoids title-only or code-only screening. Canonical category: Emergency Management.</t>
  </si>
  <si>
    <t>Translate to emergency response, risk management, and coordination. Use the canonical wording to match documented evidence to job requirements; exclude protected attributes and require human review for consequential hiring decisions.</t>
  </si>
  <si>
    <t>Improves consistent private-sector matching while keeping hiring judgments job-related and human-accountable. Canonical category: Emergency Management.</t>
  </si>
  <si>
    <t>source_id</t>
  </si>
  <si>
    <t>source_name</t>
  </si>
  <si>
    <t>related_role</t>
  </si>
  <si>
    <t>url</t>
  </si>
  <si>
    <t>date_accessed</t>
  </si>
  <si>
    <t>trust_level</t>
  </si>
  <si>
    <t>SRC-001</t>
  </si>
  <si>
    <t>O*NET OnLine</t>
  </si>
  <si>
    <t>U.S. Department of Labor occupational database</t>
  </si>
  <si>
    <t>All DeMilify roles</t>
  </si>
  <si>
    <t>https://www.onetonline.org/</t>
  </si>
  <si>
    <t>High - official government</t>
  </si>
  <si>
    <t>Canonical occupational descriptions, tasks, skills, and O*NET-SOC classifications.</t>
  </si>
  <si>
    <t>SRC-002</t>
  </si>
  <si>
    <t>O*NET Educational, Guidance, and Career Counselors and Advisors</t>
  </si>
  <si>
    <t>O*NET occupation profile</t>
  </si>
  <si>
    <t>Military Transition Counselor; Veteran Career Coach</t>
  </si>
  <si>
    <t>Supports career counseling, guidance, assessment, and planning role definitions.</t>
  </si>
  <si>
    <t>SRC-003</t>
  </si>
  <si>
    <t>O*NET Rehabilitation Counselors</t>
  </si>
  <si>
    <t>https://www.onetonline.org/link/summary/21-1015.00</t>
  </si>
  <si>
    <t>Supports rehabilitation counseling and vocational planning taxonomy.</t>
  </si>
  <si>
    <t>SRC-004</t>
  </si>
  <si>
    <t>O*NET Mental Health Counselors</t>
  </si>
  <si>
    <t>https://www.onetonline.org/link/summary/21-1014.00</t>
  </si>
  <si>
    <t>Occupational reference only; MFLC scope remains non-medical and program-specific.</t>
  </si>
  <si>
    <t>SRC-005</t>
  </si>
  <si>
    <t>O*NET Human Resources Specialists</t>
  </si>
  <si>
    <t>Fellowship Recruiter; Corporate Recruiter</t>
  </si>
  <si>
    <t>Supports recruiting, screening, interviewing, and talent-pipeline functions.</t>
  </si>
  <si>
    <t>SRC-006</t>
  </si>
  <si>
    <t>Veterans Benefits Administration</t>
  </si>
  <si>
    <t>Federal benefits portal</t>
  </si>
  <si>
    <t>https://benefits.va.gov/benefits/</t>
  </si>
  <si>
    <t>Authoritative VA benefits program hub; eligibility and decisions remain with VA.</t>
  </si>
  <si>
    <t>SRC-007</t>
  </si>
  <si>
    <t>VR&amp;E Eligibility</t>
  </si>
  <si>
    <t>Federal program eligibility page</t>
  </si>
  <si>
    <t>VR&amp;E Counselor; VA Benefits Advisor</t>
  </si>
  <si>
    <t>https://www.va.gov/careers-employment/vocational-rehabilitation/eligibility/</t>
  </si>
  <si>
    <t>Official eligibility overview; entitlement is determined by an authorized VRC.</t>
  </si>
  <si>
    <t>SRC-008</t>
  </si>
  <si>
    <t>VA Vocational Rehabilitation Counselor Qualification Standard</t>
  </si>
  <si>
    <t>Federal qualification standard</t>
  </si>
  <si>
    <t>Human VRC education, internship or experience, and grade requirements.</t>
  </si>
  <si>
    <t>SRC-009</t>
  </si>
  <si>
    <t>DoD SkillBridge</t>
  </si>
  <si>
    <t>Federal transition program</t>
  </si>
  <si>
    <t>Fellowship Recruiter; Military Transition Counselor</t>
  </si>
  <si>
    <t>https://www.skillbridge.mil/</t>
  </si>
  <si>
    <t>Official program and approved-opportunity portal; service policy and command approval govern participation.</t>
  </si>
  <si>
    <t>SRC-010</t>
  </si>
  <si>
    <t>DoD Transition Assistance Program</t>
  </si>
  <si>
    <t>https://dodtap.mil/dodtap/</t>
  </si>
  <si>
    <t>Official TAP program, curriculum, and transition-office guidance.</t>
  </si>
  <si>
    <t>SRC-011</t>
  </si>
  <si>
    <t>DOL Veterans Employment and Training Service TAP</t>
  </si>
  <si>
    <t>Federal employment-transition program</t>
  </si>
  <si>
    <t>Military Transition Counselor; Veteran Career Coach; Corporate Recruiter</t>
  </si>
  <si>
    <t>https://www.dol.gov/agencies/vets/programs/tap</t>
  </si>
  <si>
    <t>Employment workshops, career exploration, resume, networking, interviewing, and negotiation resources.</t>
  </si>
  <si>
    <t>SRC-012</t>
  </si>
  <si>
    <t>BLS School and Career Counselors and Advisors</t>
  </si>
  <si>
    <t>Federal labor-market reference</t>
  </si>
  <si>
    <t>https://www.bls.gov/ooh/Community-and-Social-Service/School-and-career-counselors.htm</t>
  </si>
  <si>
    <t>Independent occupational outlook and education reference.</t>
  </si>
  <si>
    <t>SRC-013</t>
  </si>
  <si>
    <t>BLS Human Resources Specialists</t>
  </si>
  <si>
    <t>https://www.bls.gov/ooh/business-and-financial/human-resources-specialists.htm</t>
  </si>
  <si>
    <t>Independent occupational outlook for recruiting and HR work.</t>
  </si>
  <si>
    <t>SRC-014</t>
  </si>
  <si>
    <t>Military &amp; Family Life Counseling Overview</t>
  </si>
  <si>
    <t>DoD-supported official resource</t>
  </si>
  <si>
    <t>High - official government program</t>
  </si>
  <si>
    <t>Defines short-term, confidential, non-medical counseling scope and access.</t>
  </si>
  <si>
    <t>SRC-015</t>
  </si>
  <si>
    <t>Joint Services Transcript</t>
  </si>
  <si>
    <t>Military Transition Counselor; Veteran Career Coach; Fellowship Recruiter; Corporate Recruiter</t>
  </si>
  <si>
    <t>https://www.militaryonesource.mil/benefits/joint-services-transcript/</t>
  </si>
  <si>
    <t>Describes military schooling, training, and work history in civilian terms; service coverage differs for Air Force.</t>
  </si>
  <si>
    <t>SRC-016</t>
  </si>
  <si>
    <t>My Next Move for Veterans</t>
  </si>
  <si>
    <t>U.S. Department of Labor career tool</t>
  </si>
  <si>
    <t>https://www.mynextmove.org/vets/</t>
  </si>
  <si>
    <t>Military occupation search and suggested civilian careers.</t>
  </si>
  <si>
    <t>SRC-017</t>
  </si>
  <si>
    <t>O*NET Crosswalk Files</t>
  </si>
  <si>
    <t>U.S. Department of Labor data resource</t>
  </si>
  <si>
    <t>Veteran Career Coach; Fellowship Recruiter; Corporate Recruiter</t>
  </si>
  <si>
    <t>https://www.onetcenter.org/crosswalks.html</t>
  </si>
  <si>
    <t>Military occupation and O*NET crosswalk files; use for verified code mappings.</t>
  </si>
  <si>
    <t>SRC-018</t>
  </si>
  <si>
    <t>Hiring Our Heroes Corporate Fellowships</t>
  </si>
  <si>
    <t>Official program-provider page</t>
  </si>
  <si>
    <t>https://www.hiringourheroes.org/career-services/fellowships/internships/cfp/</t>
  </si>
  <si>
    <t>High - official provider</t>
  </si>
  <si>
    <t>Current cohort dates, deadlines, locations, eligibility, and program structure. Verify before each use.</t>
  </si>
  <si>
    <t>SRC-019</t>
  </si>
  <si>
    <t>Amazon Operations Manager - Military Veterans Encouraged to Apply</t>
  </si>
  <si>
    <t>Official employer job posting</t>
  </si>
  <si>
    <t>https://www.amazon.jobs/jobs/2900409/operations-manager-military-veterans-encouraged-to-apply</t>
  </si>
  <si>
    <t>High - official employer</t>
  </si>
  <si>
    <t>Current requisition source used in the requisition map; availability and requirements may change.</t>
  </si>
  <si>
    <t>HOH-CFP-2027-01</t>
  </si>
  <si>
    <t>Corporate Fellowship Program - 2027 Cohort 1</t>
  </si>
  <si>
    <t>Hiring Our Heroes</t>
  </si>
  <si>
    <t>Any branch / MOS; skills-based host matching</t>
  </si>
  <si>
    <t>Project management; strategic communications; influencing without authority; civilian workplace adaptation</t>
  </si>
  <si>
    <t>Multi-site / host-dependent</t>
  </si>
  <si>
    <t>Limited / host-dependent</t>
  </si>
  <si>
    <t>Active duty or transition leave; within 180 days of transition during the 12-week program; education and leadership requirements apply; command approval required.</t>
  </si>
  <si>
    <t>Verified 2026-09-19. Program timing is flexible for branch- and rank-specific policies; placement and employment are not guaranteed.</t>
  </si>
  <si>
    <t>HOH-CFP-2027-02</t>
  </si>
  <si>
    <t>Corporate Fellowship Program - 2027 Cohort 2</t>
  </si>
  <si>
    <t>AMZN-2900409</t>
  </si>
  <si>
    <t>Amazon</t>
  </si>
  <si>
    <t>Operations Manager (Military Veterans Encouraged to Apply)</t>
  </si>
  <si>
    <t>Operations / Supply Chain / Logistics</t>
  </si>
  <si>
    <t>Bachelor’s or Master’s degree in Engineering, Operations, Supply Chain/Logistics, or a related field; experience in military, manufacturing, automotive, biotech, electronics, energy, instrumentation, machinery, defense/aerospace, medical, cosmetics, production, or distribution environments</t>
  </si>
  <si>
    <t>Not specified in the retrieved official summary; verify the live posting before use</t>
  </si>
  <si>
    <t>operations manager; military veterans; engineering; operations; supply chain; logistics; manufacturing; production; distribution</t>
  </si>
  <si>
    <t>Not specified by employer; use SRC-017 O*NET military crosswalk and verified service records rather than inferred codes</t>
  </si>
  <si>
    <t>Operations leadership; supply-chain coordination; process improvement; maintenance operations; resource prioritization; asset accountability; team leadership</t>
  </si>
  <si>
    <t>Manager</t>
  </si>
  <si>
    <t>Not stated</t>
  </si>
  <si>
    <t>Military experience is explicitly listed among relevant environments. Confirm posting status, location, complete qualifications, and any preferred criteria before screening.</t>
  </si>
  <si>
    <t>Verified from the official employer page on 2026-09-19. Human review is required; no autonomous ranking or rejection.</t>
  </si>
  <si>
    <t>Synthetic PII-free baseline record for testing; not user evidence or an external-source claim.</t>
  </si>
  <si>
    <t>N/A - synthetic internal example</t>
  </si>
  <si>
    <t>N/A - workbook-level event</t>
  </si>
  <si>
    <t>skill_id</t>
  </si>
  <si>
    <t>skill_category</t>
  </si>
  <si>
    <t>synonyms</t>
  </si>
  <si>
    <t>military_equivalents</t>
  </si>
  <si>
    <t>civilian_equivalents</t>
  </si>
  <si>
    <t>SKILL-001</t>
  </si>
  <si>
    <t>Benefits research</t>
  </si>
  <si>
    <t>benefit research; program research; eligibility research</t>
  </si>
  <si>
    <t>Verified service record, JST, training, or work evidence demonstrating Benefits research; never infer solely from rank, title, MOS, AFSC, or rating</t>
  </si>
  <si>
    <t>Benefits research applied in VA Benefits Advisor and related civilian roles</t>
  </si>
  <si>
    <t>tblRoleArchitecture:ROLE-002; SRC-001</t>
  </si>
  <si>
    <t>Evidence must identify context, action, scope, and result where available; preserve persona safety boundaries.</t>
  </si>
  <si>
    <t>SKILL-002</t>
  </si>
  <si>
    <t>claims-process literacy</t>
  </si>
  <si>
    <t>Verified service record, JST, training, or work evidence demonstrating claims-process literacy; never infer solely from rank, title, MOS, AFSC, or rating</t>
  </si>
  <si>
    <t>claims-process literacy applied in VA Benefits Advisor and related civilian roles</t>
  </si>
  <si>
    <t>SKILL-003</t>
  </si>
  <si>
    <t>evidence organization</t>
  </si>
  <si>
    <t>Verified service record, JST, training, or work evidence demonstrating evidence organization; never infer solely from rank, title, MOS, AFSC, or rating</t>
  </si>
  <si>
    <t>evidence organization applied in VA Benefits Advisor and related civilian roles</t>
  </si>
  <si>
    <t>SKILL-004</t>
  </si>
  <si>
    <t>interviewing</t>
  </si>
  <si>
    <t>Verified service record, JST, training, or work evidence demonstrating interviewing; never infer solely from rank, title, MOS, AFSC, or rating</t>
  </si>
  <si>
    <t>interviewing applied in VA Benefits Advisor and related civilian roles</t>
  </si>
  <si>
    <t>tblRoleArchitecture:ROLE-002; SRC-001; tblRoleArchitecture:ROLE-007</t>
  </si>
  <si>
    <t>SKILL-005</t>
  </si>
  <si>
    <t>issue spotting</t>
  </si>
  <si>
    <t>Verified service record, JST, training, or work evidence demonstrating issue spotting; never infer solely from rank, title, MOS, AFSC, or rating</t>
  </si>
  <si>
    <t>issue spotting applied in VA Benefits Advisor and related civilian roles</t>
  </si>
  <si>
    <t>SKILL-006</t>
  </si>
  <si>
    <t>plain-language explanation</t>
  </si>
  <si>
    <t>Verified service record, JST, training, or work evidence demonstrating plain-language explanation; never infer solely from rank, title, MOS, AFSC, or rating</t>
  </si>
  <si>
    <t>plain-language explanation applied in VA Benefits Advisor and related civilian roles</t>
  </si>
  <si>
    <t>SKILL-007</t>
  </si>
  <si>
    <t>records management</t>
  </si>
  <si>
    <t>Verified service record, JST, training, or work evidence demonstrating records management; never infer solely from rank, title, MOS, AFSC, or rating</t>
  </si>
  <si>
    <t>records management applied in VA Benefits Advisor and related civilian roles</t>
  </si>
  <si>
    <t>SKILL-008</t>
  </si>
  <si>
    <t>Career assessment</t>
  </si>
  <si>
    <t>vocational assessment; career interests assessment; skills assessment</t>
  </si>
  <si>
    <t>Verified service record, JST, training, or work evidence demonstrating Career assessment; never infer solely from rank, title, MOS, AFSC, or rating</t>
  </si>
  <si>
    <t>Career assessment applied in Veteran Career Coach and related civilian roles</t>
  </si>
  <si>
    <t>tblRoleArchitecture:ROLE-003; SRC-001</t>
  </si>
  <si>
    <t>SKILL-009</t>
  </si>
  <si>
    <t>coaching</t>
  </si>
  <si>
    <t>Verified service record, JST, training, or work evidence demonstrating coaching; never infer solely from rank, title, MOS, AFSC, or rating</t>
  </si>
  <si>
    <t>coaching applied in Veteran Career Coach and related civilian roles</t>
  </si>
  <si>
    <t>SKILL-010</t>
  </si>
  <si>
    <t>goal setting</t>
  </si>
  <si>
    <t>Verified service record, JST, training, or work evidence demonstrating goal setting; never infer solely from rank, title, MOS, AFSC, or rating</t>
  </si>
  <si>
    <t>goal setting applied in Veteran Career Coach and related civilian roles</t>
  </si>
  <si>
    <t>SKILL-011</t>
  </si>
  <si>
    <t>labor-market interpretation</t>
  </si>
  <si>
    <t>Verified service record, JST, training, or work evidence demonstrating labor-market interpretation; never infer solely from rank, title, MOS, AFSC, or rating</t>
  </si>
  <si>
    <t>labor-market interpretation applied in Veteran Career Coach and related civilian roles</t>
  </si>
  <si>
    <t>SKILL-012</t>
  </si>
  <si>
    <t>motivational communication</t>
  </si>
  <si>
    <t>Verified service record, JST, training, or work evidence demonstrating motivational communication; never infer solely from rank, title, MOS, AFSC, or rating</t>
  </si>
  <si>
    <t>motivational communication applied in Veteran Career Coach and related civilian roles</t>
  </si>
  <si>
    <t>SKILL-013</t>
  </si>
  <si>
    <t>occupational research</t>
  </si>
  <si>
    <t>Verified service record, JST, training, or work evidence demonstrating occupational research; never infer solely from rank, title, MOS, AFSC, or rating</t>
  </si>
  <si>
    <t>occupational research applied in Veteran Career Coach and related civilian roles</t>
  </si>
  <si>
    <t>SKILL-014</t>
  </si>
  <si>
    <t>resume and interview strategy</t>
  </si>
  <si>
    <t>Verified service record, JST, training, or work evidence demonstrating resume and interview strategy; never infer solely from rank, title, MOS, AFSC, or rating</t>
  </si>
  <si>
    <t>resume and interview strategy applied in Veteran Career Coach and related civilian roles</t>
  </si>
  <si>
    <t>SKILL-015</t>
  </si>
  <si>
    <t>Verified military duty, evaluation, award, service-school, or JST evidence demonstrating Access management</t>
  </si>
  <si>
    <t>Access management within Cybersecurity / IT Operations</t>
  </si>
  <si>
    <t>tblCareerSkills; SRC-001; SRC-017</t>
  </si>
  <si>
    <t>SKILL-016</t>
  </si>
  <si>
    <t>Verified military duty, evaluation, award, service-school, or JST evidence demonstrating Cybersecurity operations</t>
  </si>
  <si>
    <t>Cybersecurity operations within Cybersecurity / IT Operations</t>
  </si>
  <si>
    <t>SKILL-017</t>
  </si>
  <si>
    <t>Verified military duty, evaluation, award, service-school, or JST evidence demonstrating Incident response</t>
  </si>
  <si>
    <t>Incident response within Cybersecurity / IT Operations</t>
  </si>
  <si>
    <t>SKILL-018</t>
  </si>
  <si>
    <t>Verified military duty, evaluation, award, service-school, or JST evidence demonstrating Network administration</t>
  </si>
  <si>
    <t>Network administration within Cybersecurity / IT Operations</t>
  </si>
  <si>
    <t>SKILL-019</t>
  </si>
  <si>
    <t>Verified military duty, evaluation, award, service-school, or JST evidence demonstrating Risk and compliance</t>
  </si>
  <si>
    <t>Risk and compliance within Cybersecurity / IT Operations</t>
  </si>
  <si>
    <t>SKILL-020</t>
  </si>
  <si>
    <t>Verified military duty, evaluation, award, service-school, or JST evidence demonstrating Technical documentation</t>
  </si>
  <si>
    <t>Technical documentation within Cybersecurity / IT Operations</t>
  </si>
  <si>
    <t>SKILL-021</t>
  </si>
  <si>
    <t>Verified military duty, evaluation, award, service-school, or JST evidence demonstrating Asset readiness</t>
  </si>
  <si>
    <t>Asset readiness within Supply Chain / Logistics Management</t>
  </si>
  <si>
    <t>SKILL-022</t>
  </si>
  <si>
    <t>Verified military duty, evaluation, award, service-school, or JST evidence demonstrating Demand planning</t>
  </si>
  <si>
    <t>Demand planning within Supply Chain / Logistics Management</t>
  </si>
  <si>
    <t>SKILL-023</t>
  </si>
  <si>
    <t>Verified military duty, evaluation, award, service-school, or JST evidence demonstrating Inventory management</t>
  </si>
  <si>
    <t>Inventory management within Supply Chain / Logistics Management</t>
  </si>
  <si>
    <t>SKILL-024</t>
  </si>
  <si>
    <t>Verified military duty, evaluation, award, service-school, or JST evidence demonstrating Supply chain management</t>
  </si>
  <si>
    <t>Supply chain management within Supply Chain / Logistics Management</t>
  </si>
  <si>
    <t>SKILL-025</t>
  </si>
  <si>
    <t>Verified military duty, evaluation, award, service-school, or JST evidence demonstrating Transportation coordination</t>
  </si>
  <si>
    <t>Transportation coordination within Supply Chain / Logistics Management</t>
  </si>
  <si>
    <t>SKILL-026</t>
  </si>
  <si>
    <t>Verified military duty, evaluation, award, service-school, or JST evidence demonstrating Vendor coordination</t>
  </si>
  <si>
    <t>Vendor coordination within Supply Chain / Logistics Management</t>
  </si>
  <si>
    <t>SKILL-027</t>
  </si>
  <si>
    <t>brief solution-focused counseling</t>
  </si>
  <si>
    <t>Verified service record, JST, training, or work evidence demonstrating brief solution-focused counseling; never infer solely from rank, title, MOS, AFSC, or rating</t>
  </si>
  <si>
    <t>brief solution-focused counseling applied in Military Family Life Counselor and related civilian roles</t>
  </si>
  <si>
    <t>tblRoleArchitecture:ROLE-005; SRC-001</t>
  </si>
  <si>
    <t>SKILL-028</t>
  </si>
  <si>
    <t>cultural competence</t>
  </si>
  <si>
    <t>Verified service record, JST, training, or work evidence demonstrating cultural competence; never infer solely from rank, title, MOS, AFSC, or rating</t>
  </si>
  <si>
    <t>cultural competence applied in Military Family Life Counselor and related civilian roles</t>
  </si>
  <si>
    <t>SKILL-029</t>
  </si>
  <si>
    <t>family support</t>
  </si>
  <si>
    <t>Verified service record, JST, training, or work evidence demonstrating family support; never infer solely from rank, title, MOS, AFSC, or rating</t>
  </si>
  <si>
    <t>family support applied in Military Family Life Counselor and related civilian roles</t>
  </si>
  <si>
    <t>SKILL-030</t>
  </si>
  <si>
    <t>psychoeducation</t>
  </si>
  <si>
    <t>Verified service record, JST, training, or work evidence demonstrating psychoeducation; never infer solely from rank, title, MOS, AFSC, or rating</t>
  </si>
  <si>
    <t>psychoeducation applied in Military Family Life Counselor and related civilian roles</t>
  </si>
  <si>
    <t>SKILL-031</t>
  </si>
  <si>
    <t>referral and crisis escalation</t>
  </si>
  <si>
    <t>Verified service record, JST, training, or work evidence demonstrating referral and crisis escalation; never infer solely from rank, title, MOS, AFSC, or rating</t>
  </si>
  <si>
    <t>referral and crisis escalation applied in Military Family Life Counselor and related civilian roles</t>
  </si>
  <si>
    <t>SKILL-032</t>
  </si>
  <si>
    <t>risk recognition</t>
  </si>
  <si>
    <t>Verified service record, JST, training, or work evidence demonstrating risk recognition; never infer solely from rank, title, MOS, AFSC, or rating</t>
  </si>
  <si>
    <t>risk recognition applied in Military Family Life Counselor and related civilian roles</t>
  </si>
  <si>
    <t>SKILL-033</t>
  </si>
  <si>
    <t>Verified military duty, evaluation, award, service-school, or JST evidence demonstrating Continuous improvement</t>
  </si>
  <si>
    <t>Continuous improvement within Operations Management</t>
  </si>
  <si>
    <t>SKILL-034</t>
  </si>
  <si>
    <t>Verified military duty, evaluation, award, service-school, or JST evidence demonstrating Operations management</t>
  </si>
  <si>
    <t>Operations management within Operations Management</t>
  </si>
  <si>
    <t>SKILL-035</t>
  </si>
  <si>
    <t>Verified military duty, evaluation, award, service-school, or JST evidence demonstrating Performance management</t>
  </si>
  <si>
    <t>Performance management within Operations Management</t>
  </si>
  <si>
    <t>SKILL-036</t>
  </si>
  <si>
    <t>Verified military duty, evaluation, award, service-school, or JST evidence demonstrating Quality assurance</t>
  </si>
  <si>
    <t>Quality assurance within Operations Management</t>
  </si>
  <si>
    <t>SKILL-037</t>
  </si>
  <si>
    <t>Verified military duty, evaluation, award, service-school, or JST evidence demonstrating Resource allocation</t>
  </si>
  <si>
    <t>Resource allocation within Operations Management</t>
  </si>
  <si>
    <t>SKILL-038</t>
  </si>
  <si>
    <t>Verified military duty, evaluation, award, service-school, or JST evidence demonstrating Workforce leadership</t>
  </si>
  <si>
    <t>Workforce leadership within Operations Management</t>
  </si>
  <si>
    <t>SKILL-039</t>
  </si>
  <si>
    <t>Verified military duty, evaluation, award, service-school, or JST evidence demonstrating Budget management</t>
  </si>
  <si>
    <t>Budget management within Program / Project Management</t>
  </si>
  <si>
    <t>SKILL-040</t>
  </si>
  <si>
    <t>Verified military duty, evaluation, award, service-school, or JST evidence demonstrating Process improvement</t>
  </si>
  <si>
    <t>Process improvement within Program / Project Management</t>
  </si>
  <si>
    <t>SKILL-041</t>
  </si>
  <si>
    <t>Verified military duty, evaluation, award, service-school, or JST evidence demonstrating Project planning</t>
  </si>
  <si>
    <t>Project planning within Program / Project Management</t>
  </si>
  <si>
    <t>SKILL-042</t>
  </si>
  <si>
    <t>Verified military duty, evaluation, award, service-school, or JST evidence demonstrating Risk management</t>
  </si>
  <si>
    <t>Risk management within Program / Project Management</t>
  </si>
  <si>
    <t>SKILL-043</t>
  </si>
  <si>
    <t>stakeholder; cross-functional; coordination; stakeholder management</t>
  </si>
  <si>
    <t>Verified military duty, evaluation, award, service-school, or JST evidence demonstrating Stakeholder management</t>
  </si>
  <si>
    <t>Stakeholder management within Program / Project Management</t>
  </si>
  <si>
    <t>tblCareerSkills; SRC-001; SRC-017; tblRoleArchitecture:ROLE-007</t>
  </si>
  <si>
    <t>Identify stakeholder groups and alignment achieved.; Evidence must identify context, action, scope, and result where available; preserve persona safety boundaries.</t>
  </si>
  <si>
    <t>SKILL-044</t>
  </si>
  <si>
    <t>Verified military duty, evaluation, award, service-school, or JST evidence demonstrating Team leadership</t>
  </si>
  <si>
    <t>Team leadership within Program / Project Management</t>
  </si>
  <si>
    <t>SKILL-045</t>
  </si>
  <si>
    <t>analytics</t>
  </si>
  <si>
    <t>Verified service record, JST, training, or work evidence demonstrating analytics; never infer solely from rank, title, MOS, AFSC, or rating</t>
  </si>
  <si>
    <t>analytics applied in Corporate Recruiter and related civilian roles</t>
  </si>
  <si>
    <t>tblRoleArchitecture:ROLE-007; SRC-001</t>
  </si>
  <si>
    <t>SKILL-046</t>
  </si>
  <si>
    <t>applicant tracking</t>
  </si>
  <si>
    <t>Verified service record, JST, training, or work evidence demonstrating applicant tracking; never infer solely from rank, title, MOS, AFSC, or rating</t>
  </si>
  <si>
    <t>applicant tracking applied in Corporate Recruiter and related civilian roles</t>
  </si>
  <si>
    <t>SKILL-047</t>
  </si>
  <si>
    <t>candidate screening</t>
  </si>
  <si>
    <t>Verified service record, JST, training, or work evidence demonstrating candidate screening; never infer solely from rank, title, MOS, AFSC, or rating</t>
  </si>
  <si>
    <t>candidate screening applied in Fellowship Recruiter and related civilian roles</t>
  </si>
  <si>
    <t>tblRoleArchitecture:ROLE-006; SRC-001</t>
  </si>
  <si>
    <t>SKILL-048</t>
  </si>
  <si>
    <t>employment-law awareness</t>
  </si>
  <si>
    <t>Verified service record, JST, training, or work evidence demonstrating employment-law awareness; never infer solely from rank, title, MOS, AFSC, or rating</t>
  </si>
  <si>
    <t>employment-law awareness applied in Corporate Recruiter and related civilian roles</t>
  </si>
  <si>
    <t>SKILL-049</t>
  </si>
  <si>
    <t>inclusive recruiting</t>
  </si>
  <si>
    <t>Verified service record, JST, training, or work evidence demonstrating inclusive recruiting; never infer solely from rank, title, MOS, AFSC, or rating</t>
  </si>
  <si>
    <t>inclusive recruiting applied in Fellowship Recruiter and related civilian roles</t>
  </si>
  <si>
    <t>SKILL-050</t>
  </si>
  <si>
    <t>intake and job analysis</t>
  </si>
  <si>
    <t>Verified service record, JST, training, or work evidence demonstrating intake and job analysis; never infer solely from rank, title, MOS, AFSC, or rating</t>
  </si>
  <si>
    <t>intake and job analysis applied in Corporate Recruiter and related civilian roles</t>
  </si>
  <si>
    <t>SKILL-051</t>
  </si>
  <si>
    <t>interview coordination</t>
  </si>
  <si>
    <t>Verified service record, JST, training, or work evidence demonstrating interview coordination; never infer solely from rank, title, MOS, AFSC, or rating</t>
  </si>
  <si>
    <t>interview coordination applied in Fellowship Recruiter and related civilian roles</t>
  </si>
  <si>
    <t>SKILL-052</t>
  </si>
  <si>
    <t>military-skill translation</t>
  </si>
  <si>
    <t>Verified service record, JST, training, or work evidence demonstrating military-skill translation; never infer solely from rank, title, MOS, AFSC, or rating</t>
  </si>
  <si>
    <t>military-skill translation applied in Fellowship Recruiter and related civilian roles</t>
  </si>
  <si>
    <t>SKILL-053</t>
  </si>
  <si>
    <t>outreach</t>
  </si>
  <si>
    <t>Verified service record, JST, training, or work evidence demonstrating outreach; never infer solely from rank, title, MOS, AFSC, or rating</t>
  </si>
  <si>
    <t>outreach applied in Fellowship Recruiter and related civilian roles</t>
  </si>
  <si>
    <t>SKILL-054</t>
  </si>
  <si>
    <t>pipeline analytics</t>
  </si>
  <si>
    <t>Verified service record, JST, training, or work evidence demonstrating pipeline analytics; never infer solely from rank, title, MOS, AFSC, or rating</t>
  </si>
  <si>
    <t>pipeline analytics applied in Fellowship Recruiter and related civilian roles</t>
  </si>
  <si>
    <t>SKILL-055</t>
  </si>
  <si>
    <t>Recruiting</t>
  </si>
  <si>
    <t>talent acquisition; staffing; hiring</t>
  </si>
  <si>
    <t>Verified service record, JST, training, or work evidence demonstrating Recruiting; never infer solely from rank, title, MOS, AFSC, or rating</t>
  </si>
  <si>
    <t>Recruiting applied in Corporate Recruiter and related civilian roles</t>
  </si>
  <si>
    <t>SKILL-056</t>
  </si>
  <si>
    <t>relationship management</t>
  </si>
  <si>
    <t>Verified service record, JST, training, or work evidence demonstrating relationship management; never infer solely from rank, title, MOS, AFSC, or rating</t>
  </si>
  <si>
    <t>relationship management applied in Fellowship Recruiter and related civilian roles</t>
  </si>
  <si>
    <t>SKILL-057</t>
  </si>
  <si>
    <t>sourcing</t>
  </si>
  <si>
    <t>Verified service record, JST, training, or work evidence demonstrating sourcing; never infer solely from rank, title, MOS, AFSC, or rating</t>
  </si>
  <si>
    <t>sourcing applied in Corporate Recruiter and related civilian roles</t>
  </si>
  <si>
    <t>SKILL-058</t>
  </si>
  <si>
    <t>structured screening</t>
  </si>
  <si>
    <t>Verified service record, JST, training, or work evidence demonstrating structured screening; never infer solely from rank, title, MOS, AFSC, or rating</t>
  </si>
  <si>
    <t>structured screening applied in Corporate Recruiter and related civilian roles</t>
  </si>
  <si>
    <t>SKILL-059</t>
  </si>
  <si>
    <t>Talent sourcing</t>
  </si>
  <si>
    <t>candidate sourcing; talent identification; recruiting outreach</t>
  </si>
  <si>
    <t>Verified service record, JST, training, or work evidence demonstrating Talent sourcing; never infer solely from rank, title, MOS, AFSC, or rating</t>
  </si>
  <si>
    <t>Talent sourcing applied in Fellowship Recruiter and related civilian roles</t>
  </si>
  <si>
    <t>SKILL-060</t>
  </si>
  <si>
    <t>action planning</t>
  </si>
  <si>
    <t>Verified service record, JST, training, or work evidence demonstrating action planning; never infer solely from rank, title, MOS, AFSC, or rating</t>
  </si>
  <si>
    <t>action planning applied in Military Transition Counselor and related civilian roles</t>
  </si>
  <si>
    <t>tblRoleArchitecture:ROLE-001; SRC-001</t>
  </si>
  <si>
    <t>SKILL-061</t>
  </si>
  <si>
    <t>active listening</t>
  </si>
  <si>
    <t>active listening; reflective listening; attentive listening</t>
  </si>
  <si>
    <t>Verified service record, JST, training, or work evidence demonstrating active listening; never infer solely from rank, title, MOS, AFSC, or rating</t>
  </si>
  <si>
    <t>active listening applied in Military Transition Counselor and related civilian roles</t>
  </si>
  <si>
    <t>tblRoleArchitecture:ROLE-001; SRC-001; tblRoleArchitecture:ROLE-005</t>
  </si>
  <si>
    <t>SKILL-062</t>
  </si>
  <si>
    <t>Career counseling</t>
  </si>
  <si>
    <t>career guidance; vocational guidance; transition counseling</t>
  </si>
  <si>
    <t>Verified service record, JST, training, or work evidence demonstrating Career counseling; never infer solely from rank, title, MOS, AFSC, or rating</t>
  </si>
  <si>
    <t>Career counseling applied in Military Transition Counselor and related civilian roles</t>
  </si>
  <si>
    <t>SKILL-063</t>
  </si>
  <si>
    <t>documentation</t>
  </si>
  <si>
    <t>Verified service record, JST, training, or work evidence demonstrating documentation; never infer solely from rank, title, MOS, AFSC, or rating</t>
  </si>
  <si>
    <t>documentation applied in Military Transition Counselor and related civilian roles</t>
  </si>
  <si>
    <t>tblRoleArchitecture:ROLE-001; SRC-001; tblRoleArchitecture:ROLE-004</t>
  </si>
  <si>
    <t>SKILL-064</t>
  </si>
  <si>
    <t>military-to-civilian skills translation</t>
  </si>
  <si>
    <t>Verified service record, JST, training, or work evidence demonstrating military-to-civilian skills translation; never infer solely from rank, title, MOS, AFSC, or rating</t>
  </si>
  <si>
    <t>military-to-civilian skills translation applied in Military Transition Counselor and related civilian roles</t>
  </si>
  <si>
    <t>SKILL-065</t>
  </si>
  <si>
    <t>needs assessment</t>
  </si>
  <si>
    <t>Verified service record, JST, training, or work evidence demonstrating needs assessment; never infer solely from rank, title, MOS, AFSC, or rating</t>
  </si>
  <si>
    <t>needs assessment applied in Military Transition Counselor and related civilian roles</t>
  </si>
  <si>
    <t>SKILL-066</t>
  </si>
  <si>
    <t>resource navigation</t>
  </si>
  <si>
    <t>Verified service record, JST, training, or work evidence demonstrating resource navigation; never infer solely from rank, title, MOS, AFSC, or rating</t>
  </si>
  <si>
    <t>resource navigation applied in Military Transition Counselor and related civilian roles</t>
  </si>
  <si>
    <t>SKILL-067</t>
  </si>
  <si>
    <t>case management</t>
  </si>
  <si>
    <t>Verified service record, JST, training, or work evidence demonstrating case management; never infer solely from rank, title, MOS, AFSC, or rating</t>
  </si>
  <si>
    <t>case management applied in VR&amp;E Counselor and related civilian roles</t>
  </si>
  <si>
    <t>tblRoleArchitecture:ROLE-004; SRC-001</t>
  </si>
  <si>
    <t>SKILL-068</t>
  </si>
  <si>
    <t>disability-informed planning</t>
  </si>
  <si>
    <t>Verified service record, JST, training, or work evidence demonstrating disability-informed planning; never infer solely from rank, title, MOS, AFSC, or rating</t>
  </si>
  <si>
    <t>disability-informed planning applied in VR&amp;E Counselor and related civilian roles</t>
  </si>
  <si>
    <t>SKILL-069</t>
  </si>
  <si>
    <t>labor-market analysis</t>
  </si>
  <si>
    <t>Verified service record, JST, training, or work evidence demonstrating labor-market analysis; never infer solely from rank, title, MOS, AFSC, or rating</t>
  </si>
  <si>
    <t>labor-market analysis applied in VR&amp;E Counselor and related civilian roles</t>
  </si>
  <si>
    <t>SKILL-070</t>
  </si>
  <si>
    <t>Rehabilitation counseling</t>
  </si>
  <si>
    <t>vocational rehabilitation counseling; adjustment counseling</t>
  </si>
  <si>
    <t>Verified service record, JST, training, or work evidence demonstrating Rehabilitation counseling; never infer solely from rank, title, MOS, AFSC, or rating</t>
  </si>
  <si>
    <t>Rehabilitation counseling applied in VR&amp;E Counselor and related civilian roles</t>
  </si>
  <si>
    <t>SKILL-071</t>
  </si>
  <si>
    <t>service coordination</t>
  </si>
  <si>
    <t>Verified service record, JST, training, or work evidence demonstrating service coordination; never infer solely from rank, title, MOS, AFSC, or rating</t>
  </si>
  <si>
    <t>service coordination applied in VR&amp;E Counselor and related civilian roles</t>
  </si>
  <si>
    <t>SKILL-072</t>
  </si>
  <si>
    <t>vocational assessment</t>
  </si>
  <si>
    <t>Verified service record, JST, training, or work evidence demonstrating vocational assessment; never infer solely from rank, title, MOS, AFSC, or rating</t>
  </si>
  <si>
    <t>vocational assessment applied in VR&amp;E Counselor and related civilian roles</t>
  </si>
  <si>
    <t>Start Here</t>
  </si>
  <si>
    <t>Workbook support or data sheet.</t>
  </si>
  <si>
    <t>Role_Architecture</t>
  </si>
  <si>
    <t>Defines the seven DeMilify personas, qualifications, AI functions, reasoning, safeguards, and sources.</t>
  </si>
  <si>
    <t>Persona_Routing_Matrix</t>
  </si>
  <si>
    <t>Routes user intents to primary and fallback personas with required inputs and safety rules.</t>
  </si>
  <si>
    <t>Fellowship_Tracking</t>
  </si>
  <si>
    <t>Tracks verified fellowship cohorts and compares dates with a non-identifying separation-date input.</t>
  </si>
  <si>
    <t>Corporate_Requisition_Map</t>
  </si>
  <si>
    <t>Maps verified private-sector requisitions to translated military and JST skills.</t>
  </si>
  <si>
    <t>Privacy_Guardrails</t>
  </si>
  <si>
    <t>Defines detection, redaction, blocking, and escalation rules for sensitive information.</t>
  </si>
  <si>
    <t>Civilian_Language_Map</t>
  </si>
  <si>
    <t>Provides deterministic branch-, term-, and persona-specific civilian-language mappings.</t>
  </si>
  <si>
    <t>Skill_Dictionary</t>
  </si>
  <si>
    <t>Standardizes canonical skills, synonyms, military evidence, civilian equivalents, and sources.</t>
  </si>
  <si>
    <t>Source_Register</t>
  </si>
  <si>
    <t>Registers authoritative government, provider, and employer sources with access dates and trust levels.</t>
  </si>
  <si>
    <t>Analytics Data</t>
  </si>
  <si>
    <t>Provides hidden formula-driven support ranges for dashboard charts and validations.</t>
  </si>
  <si>
    <t>SRC-020</t>
  </si>
  <si>
    <t>DD Form 214 / Separation Documents</t>
  </si>
  <si>
    <t>National Archives military-record reference</t>
  </si>
  <si>
    <t>Military Transition Counselor; VA Benefits Advisor; Veteran Career Coach</t>
  </si>
  <si>
    <t>https://www.archives.gov/personnel-records-center/dd-214</t>
  </si>
  <si>
    <t>Defines DD-214 purpose and fields. Contains sensitive personal and service information; extract only minimum necessary non-PII facts.</t>
  </si>
  <si>
    <t>SRC-021</t>
  </si>
  <si>
    <t>Joint Services Transcript System</t>
  </si>
  <si>
    <t>Department of Defense education record system</t>
  </si>
  <si>
    <t>https://jst.doded.mil/jst/</t>
  </si>
  <si>
    <t>Official JST access point and service-coverage guidance. Do not store complete personal transcripts in this workbook.</t>
  </si>
  <si>
    <t>SRC-022</t>
  </si>
  <si>
    <t>O*NET Military Crosswalk Search</t>
  </si>
  <si>
    <t>U.S. Department of Labor military occupation crosswalk</t>
  </si>
  <si>
    <t>https://www.onetonline.org/crosswalk/MOC/</t>
  </si>
  <si>
    <t>Maps military occupation codes to related civilian occupations; treat matches as candidates requiring evidence review, not guaranteed equivalence.</t>
  </si>
  <si>
    <t>mapping_id</t>
  </si>
  <si>
    <t>source_record_type</t>
  </si>
  <si>
    <t>source_field_or_code</t>
  </si>
  <si>
    <t>canonical_use</t>
  </si>
  <si>
    <t>civilian_translation_method</t>
  </si>
  <si>
    <t>privacy_handling</t>
  </si>
  <si>
    <t>MRM-001</t>
  </si>
  <si>
    <t>DD-214</t>
  </si>
  <si>
    <t>military_job_specialty</t>
  </si>
  <si>
    <t>Identify documented military occupation for later skill translation</t>
  </si>
  <si>
    <t>Extract the occupation label or code, resolve it through the service dictionary and O*NET military crosswalk, then validate against documented duties and outcomes.</t>
  </si>
  <si>
    <t>Never store the complete DD-214. Redact name, SSN, service number, birth date, addresses, exact duty locations, and other identifiers; retain only the minimum verified occupational fact.</t>
  </si>
  <si>
    <t>SRC-020; SRC-022</t>
  </si>
  <si>
    <t>DD-214 may also contain rank, education, awards, dates, and separation information; each field requires purpose-based minimization.</t>
  </si>
  <si>
    <t>MRM-002</t>
  </si>
  <si>
    <t>military_education</t>
  </si>
  <si>
    <t>Identify documented education or formal military training</t>
  </si>
  <si>
    <t>Translate course titles into demonstrated learning areas only when the course or transcript supports them; do not infer proficiency from attendance alone.</t>
  </si>
  <si>
    <t>Remove identifying and case-specific details; retain generalized course title, completion status, and verified credential only when needed.</t>
  </si>
  <si>
    <t>Use JST or an official training record for more detailed education evidence when available.</t>
  </si>
  <si>
    <t>MRM-003</t>
  </si>
  <si>
    <t>JST</t>
  </si>
  <si>
    <t>Army; Marine Corps; Navy; Coast Guard; eligible cross-service coursework</t>
  </si>
  <si>
    <t>military_schooling_training_work_history</t>
  </si>
  <si>
    <t>Translate documented training and work history into civilian education, competencies, and possible credit evidence</t>
  </si>
  <si>
    <t>Use the official JST course, occupation, and ACE-related entries; map skills through the canonical skill dictionary and preserve the distinction between credit recommendation and awarded credit.</t>
  </si>
  <si>
    <t>Do not store the complete personal transcript or student identifiers. Capture only verified, task-relevant course, occupation, competency, and credit-recommendation facts.</t>
  </si>
  <si>
    <t>SRC-015; SRC-021</t>
  </si>
  <si>
    <t>Air Force and Space Force users may require Air University or CCAF transcript pathways unless qualifying cross-service coursework appears in JST.</t>
  </si>
  <si>
    <t>MRM-004</t>
  </si>
  <si>
    <t>Military Occupation Code</t>
  </si>
  <si>
    <t>Army; Marine Corps</t>
  </si>
  <si>
    <t>Find candidate civilian occupations and translate occupational specialty terminology</t>
  </si>
  <si>
    <t>Resolve the branch and MOS through the O*NET military crosswalk; map related duties to tblServiceTerms, tblCivilianLanguageMap, and tblSkillDictionary; confirm each claim with user evidence.</t>
  </si>
  <si>
    <t>A code alone is not PII, but avoid combining it with exact unit, location, dates, or rare personal facts that could identify a person.</t>
  </si>
  <si>
    <t>SRC-017; SRC-022; tblServiceTerms; tblCivilianLanguageMap</t>
  </si>
  <si>
    <t>Do not claim a one-to-one civilian equivalence or credential based only on MOS.</t>
  </si>
  <si>
    <t>MRM-005</t>
  </si>
  <si>
    <t>Find candidate civilian occupations and translate Air Force specialty terminology</t>
  </si>
  <si>
    <t>Resolve AFSC through official military crosswalk resources; convert the specialty into functional capabilities and validate tools, scope, and outcomes from records.</t>
  </si>
  <si>
    <t>Generalize sensitive assignments and locations; never infer clearance, access, or certification from AFSC alone.</t>
  </si>
  <si>
    <t>Air University or CCAF records may be needed for formal education and training evidence.</t>
  </si>
  <si>
    <t>MRM-006</t>
  </si>
  <si>
    <t>Navy; Coast Guard</t>
  </si>
  <si>
    <t>rating</t>
  </si>
  <si>
    <t>Find candidate civilian occupations and translate enlisted specialty terminology</t>
  </si>
  <si>
    <t>Resolve rating with service branch context, then translate documented technical functions through the verified service dictionary and skill taxonomy.</t>
  </si>
  <si>
    <t>Avoid combining rating with vessel, unit, homeport, mission date, or other identifying operational details.</t>
  </si>
  <si>
    <t>A rating title does not by itself prove a credential, proficiency level, or specific duty history.</t>
  </si>
  <si>
    <t>MRM-007</t>
  </si>
  <si>
    <t>Find candidate civilian occupations and translate Space Force specialty terminology</t>
  </si>
  <si>
    <t>Use official crosswalk resources where available; map the documented specialty to technical or operational functions and validate against non-sensitive evidence.</t>
  </si>
  <si>
    <t>Do not expose mission, system, access, clearance, unit, or location details; generalize protected operational scope.</t>
  </si>
  <si>
    <t>Specialized or emerging codes may require human validation when no authoritative crosswalk match exists.</t>
  </si>
  <si>
    <t>MRM-008</t>
  </si>
  <si>
    <t>Specialty Qualification</t>
  </si>
  <si>
    <t>Translate a documented specialized technical qualification</t>
  </si>
  <si>
    <t>Use NEC as a starting taxonomy signal; describe the verified capability and tools rather than displaying only the code.</t>
  </si>
  <si>
    <t>Do not infer clearance, system access, deployment, unit, or operational details from the qualification.</t>
  </si>
  <si>
    <t>tblServiceTerms; tblCivilianLanguageMap; SRC-017</t>
  </si>
  <si>
    <t>Validate active status and actual experience separately from possession of the code.</t>
  </si>
  <si>
    <t>sheet_name</t>
  </si>
  <si>
    <t>sheet_type</t>
  </si>
  <si>
    <t>primary_table</t>
  </si>
  <si>
    <t>key_field</t>
  </si>
  <si>
    <t>agent_use</t>
  </si>
  <si>
    <t>ingestion_rule</t>
  </si>
  <si>
    <t>privacy_classification</t>
  </si>
  <si>
    <t>source_dependencies</t>
  </si>
  <si>
    <t>update_guidance</t>
  </si>
  <si>
    <t>derived_analytics</t>
  </si>
  <si>
    <t>Executive monitoring of records, privacy review, readiness, and skill coverage.</t>
  </si>
  <si>
    <t>Read displayed KPIs and charts only; do not treat layout cells as canonical data.</t>
  </si>
  <si>
    <t>read_only</t>
  </si>
  <si>
    <t>Internal summary</t>
  </si>
  <si>
    <t>tblRecords; Skills Gap; Analytics Data</t>
  </si>
  <si>
    <t>Refresh through source tables and formulas.</t>
  </si>
  <si>
    <t>interface</t>
  </si>
  <si>
    <t>Workbook navigation, workflow, and privacy instructions.</t>
  </si>
  <si>
    <t>Use as human orientation, not model training data.</t>
  </si>
  <si>
    <t>interface_only</t>
  </si>
  <si>
    <t>Public/internal guidance</t>
  </si>
  <si>
    <t>All workbook sheets</t>
  </si>
  <si>
    <t>Keep contents table synchronized with sheet inventory.</t>
  </si>
  <si>
    <t>input_interface</t>
  </si>
  <si>
    <t>PII-minimized accomplishment intake form.</t>
  </si>
  <si>
    <t>Accept temporary user input, enforce privacy guardrails, then write approved records to tblRecords.</t>
  </si>
  <si>
    <t>input_only</t>
  </si>
  <si>
    <t>Potential sensitive input</t>
  </si>
  <si>
    <t>tblRecords; tblServiceEvaluations</t>
  </si>
  <si>
    <t>Do not ingest blank form cells as facts.</t>
  </si>
  <si>
    <t>canonical_data</t>
  </si>
  <si>
    <t>tblRecords</t>
  </si>
  <si>
    <t>Structured accomplishment evidence and translated military experience.</t>
  </si>
  <si>
    <t>Primary evidence retrieval for generation, matching, and skill-gap analysis.</t>
  </si>
  <si>
    <t>table_api</t>
  </si>
  <si>
    <t>Controlled evidence; PII review required</t>
  </si>
  <si>
    <t>tblServiceTerms; tblSkillDictionary; tblPrivacyGuardrails</t>
  </si>
  <si>
    <t>Use only pii_status=Clear; synthetic rows are labeled.</t>
  </si>
  <si>
    <t>Compares target requirements with PII-cleared accomplishment evidence.</t>
  </si>
  <si>
    <t>Read calculated coverage and gaps; recompute from source tables when integrating outside Excel.</t>
  </si>
  <si>
    <t>Derived internal data</t>
  </si>
  <si>
    <t>tblCareerSkills; tblRecords</t>
  </si>
  <si>
    <t>Do not ingest presentation labels as source facts.</t>
  </si>
  <si>
    <t>tblCareerSkills</t>
  </si>
  <si>
    <t>career_path + skill_name</t>
  </si>
  <si>
    <t>Career-path skill requirements, keyword variants, priorities, and guidance.</t>
  </si>
  <si>
    <t>Supports target-role requirements and evidence-gap analysis.</t>
  </si>
  <si>
    <t>Reference data</t>
  </si>
  <si>
    <t>SRC-001; SRC-011</t>
  </si>
  <si>
    <t>Composite key is career_path + skill_name.</t>
  </si>
  <si>
    <t>output_interface</t>
  </si>
  <si>
    <t>Builds PII-screened, evidence-grounded prompts for professional outputs.</t>
  </si>
  <si>
    <t>Use as a presentation and prompt assembly surface; canonical inputs remain in tables.</t>
  </si>
  <si>
    <t>output_only</t>
  </si>
  <si>
    <t>Potential sensitive input/output</t>
  </si>
  <si>
    <t>tblRecords; tblPrompts; tblPrivacyGuardrails</t>
  </si>
  <si>
    <t>Do not ingest pasted target text as verified project data.</t>
  </si>
  <si>
    <t>tblServiceTerms; tblServiceEvaluations</t>
  </si>
  <si>
    <t>service_branch + term_acronym; service_branch + evaluation_record</t>
  </si>
  <si>
    <t>Verified service-specific terminology and evaluation-record translations.</t>
  </si>
  <si>
    <t>Canonical terminology lookup; preserve all verified rows.</t>
  </si>
  <si>
    <t>SRC-001; SRC-017; SRC-022</t>
  </si>
  <si>
    <t>Never replace verified translations without source review.</t>
  </si>
  <si>
    <t>configuration</t>
  </si>
  <si>
    <t>tblPrompts</t>
  </si>
  <si>
    <t>Reusable instructions for generated documents.</t>
  </si>
  <si>
    <t>Select generation behavior by output type.</t>
  </si>
  <si>
    <t>Internal configuration</t>
  </si>
  <si>
    <t>tblPrivacyGuardrails</t>
  </si>
  <si>
    <t>Review prompts when safety or output standards change.</t>
  </si>
  <si>
    <t>governance</t>
  </si>
  <si>
    <t>tblAuditLog</t>
  </si>
  <si>
    <t>Privacy-safe history of workbook and record-management actions.</t>
  </si>
  <si>
    <t>Supports traceability without recording cell contents.</t>
  </si>
  <si>
    <t>Internal audit metadata</t>
  </si>
  <si>
    <t>Workbook-level events use an explicit N/A record identifier.</t>
  </si>
  <si>
    <t>tblButtonAssignments</t>
  </si>
  <si>
    <t>Macro assignment registry for optional local automation.</t>
  </si>
  <si>
    <t>Use only when configuring the macro-enabled workbook.</t>
  </si>
  <si>
    <t>Form; tblRecords; tblAuditLog</t>
  </si>
  <si>
    <t>Macros require separate security review and are not part of model ingestion.</t>
  </si>
  <si>
    <t>derived_support</t>
  </si>
  <si>
    <t>Hidden formula ranges supporting dashboard charts and validation lists.</t>
  </si>
  <si>
    <t>Read only as a derived cache; canonical facts live in source tables.</t>
  </si>
  <si>
    <t>tblRecords; tblPrompts; tblServiceEvaluations</t>
  </si>
  <si>
    <t>Do not use as an independent source of truth.</t>
  </si>
  <si>
    <t>tblRoleArchitecture</t>
  </si>
  <si>
    <t>Defines the seven DeMilify personas, capabilities, qualifications, logic, value, sources, and boundaries.</t>
  </si>
  <si>
    <t>Controls persona behavior and role-specific system prompts.</t>
  </si>
  <si>
    <t>Reference and governance data</t>
  </si>
  <si>
    <t>tblSourceRegister</t>
  </si>
  <si>
    <t>Review role boundaries with legal, clinical, and program owners.</t>
  </si>
  <si>
    <t>tblPersonaRoutingMatrix</t>
  </si>
  <si>
    <t>Routes user intents to primary and fallback personas with required inputs and safeguards.</t>
  </si>
  <si>
    <t>Primary deterministic intent-routing configuration.</t>
  </si>
  <si>
    <t>Safety-critical configuration</t>
  </si>
  <si>
    <t>tblRoleArchitecture; tblPrivacyGuardrails</t>
  </si>
  <si>
    <t>Critical safety route must take precedence over career or benefits workflows.</t>
  </si>
  <si>
    <t>tblFellowshipTracking; tblFellowshipSettings</t>
  </si>
  <si>
    <t>fellowship_id; setting_name</t>
  </si>
  <si>
    <t>Tracks verified fellowship cohorts and optional non-identifying separation-date calculations.</t>
  </si>
  <si>
    <t>Supports fellowship discovery and 180-day timing comparisons.</t>
  </si>
  <si>
    <t>Program data; optional user date</t>
  </si>
  <si>
    <t>SRC-009; SRC-018</t>
  </si>
  <si>
    <t>Verify program dates before use; command approval remains external.</t>
  </si>
  <si>
    <t>tblCorporateRequisitionMap</t>
  </si>
  <si>
    <t>Supports evidence-based candidate-to-job matching.</t>
  </si>
  <si>
    <t>Public job data</t>
  </si>
  <si>
    <t>SRC-013; SRC-017; SRC-019</t>
  </si>
  <si>
    <t>Refresh or retire requisitions when employer postings change.</t>
  </si>
  <si>
    <t>Defines detection, redaction, blocking, replacement, and escalation rules for sensitive data.</t>
  </si>
  <si>
    <t>Apply before storage, routing, model prompts, and output generation.</t>
  </si>
  <si>
    <t>Safety-critical privacy rules</t>
  </si>
  <si>
    <t>SRC-020; workbook policy</t>
  </si>
  <si>
    <t>Human review is required for ambiguous or combined identifying facts.</t>
  </si>
  <si>
    <t>tblCivilianLanguageMap</t>
  </si>
  <si>
    <t>service_branch + military_term + target_persona</t>
  </si>
  <si>
    <t>Persona-specific civilian-language mappings derived from verified service terms.</t>
  </si>
  <si>
    <t>Deterministic terminology translation across all seven personas.</t>
  </si>
  <si>
    <t>Derived reference data</t>
  </si>
  <si>
    <t>tblServiceTerms; tblRoleArchitecture</t>
  </si>
  <si>
    <t>Canonical wording must remain synchronized with tblServiceTerms.</t>
  </si>
  <si>
    <t>Authoritative government, program-provider, and employer sources with access dates and trust levels.</t>
  </si>
  <si>
    <t>Provides provenance and recency controls for external claims.</t>
  </si>
  <si>
    <t>Public source metadata</t>
  </si>
  <si>
    <t>Revalidate time-sensitive program and employer pages before use.</t>
  </si>
  <si>
    <t>tblSkillDictionary</t>
  </si>
  <si>
    <t>Standardized skills, synonyms, military evidence descriptions, civilian equivalents, and source references.</t>
  </si>
  <si>
    <t>Canonical skill normalization for retrieval, matching, and gap analysis.</t>
  </si>
  <si>
    <t>tblCareerSkills; tblRoleArchitecture; tblSourceRegister</t>
  </si>
  <si>
    <t>Add aliases rather than creating duplicate canonical skills.</t>
  </si>
  <si>
    <t>Military_Record_Map</t>
  </si>
  <si>
    <t>tblMilitaryRecordMap</t>
  </si>
  <si>
    <t>Privacy-safe handling and translation rules for DD-214, JST, MOS, AFSC, ratings, SFSC, and NEC data.</t>
  </si>
  <si>
    <t>Routes military record fields to canonical terminology and skills without retaining source documents.</t>
  </si>
  <si>
    <t>Sensitive-source handling rules</t>
  </si>
  <si>
    <t>SRC-020; SRC-021; SRC-022; tblServiceTerms; tblSkillDictionary</t>
  </si>
  <si>
    <t>Never store full personal records; retain minimum verified facts only.</t>
  </si>
  <si>
    <t>AI_Agent_Manifest</t>
  </si>
  <si>
    <t>tblAIAgentManifest</t>
  </si>
  <si>
    <t>Machine-readable catalog of workbook assets, authority, ingestion mode, relationships, and update rules.</t>
  </si>
  <si>
    <t>Entry point for agent orchestration and dataset discovery.</t>
  </si>
  <si>
    <t>Internal architecture metadata</t>
  </si>
  <si>
    <t>All workbook assets</t>
  </si>
  <si>
    <t>Update whenever sheets, tables, keys, or ingestion rules change.</t>
  </si>
  <si>
    <t>Defines privacy-safe translation and handling for DD-214, JST, MOS, AFSC, rating, SFSC, and NEC evidence.</t>
  </si>
  <si>
    <t>Catalogs every workbook asset, table, key, ingestion rule, privacy class, dependency, and update requirement.</t>
  </si>
  <si>
    <t>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</si>
</sst>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
    <numFmt numFmtId="165" formatCode="yyyy\-mm\-dd"/>
  </numFmts>
  <fonts count="15" x14ac:knownFonts="1">
    <font>
      <sz val="11"/>
      <color theme="1"/>
      <name val="Aptos Narrow"/>
      <family val="2"/>
      <scheme val="minor"/>
    </font>
    <font>
      <sz val="11"/>
      <color rgb="FF5B6573"/>
      <name val="Aptos Narrow"/>
      <family val="2"/>
      <scheme val="minor"/>
    </font>
    <font>
      <i/>
      <sz val="11"/>
      <color rgb="FF5B6573"/>
      <name val="Aptos Narrow"/>
      <family val="2"/>
      <scheme val="minor"/>
    </font>
    <font>
      <b/>
      <sz val="18"/>
      <color rgb="FFFFFFFF"/>
      <name val="Aptos"/>
    </font>
    <font>
      <i/>
      <sz val="10"/>
      <color rgb="FF5B6573"/>
      <name val="Aptos"/>
    </font>
    <font>
      <b/>
      <sz val="10"/>
      <color rgb="FF1F2937"/>
      <name val="Aptos"/>
    </font>
    <font>
      <sz val="10"/>
      <color rgb="FF1F2937"/>
      <name val="Aptos"/>
    </font>
    <font>
      <b/>
      <sz val="10"/>
      <color rgb="FFFFFFFF"/>
      <name val="Aptos"/>
    </font>
    <font>
      <b/>
      <sz val="10"/>
      <color rgb="FF001F43"/>
      <name val="Aptos"/>
    </font>
    <font>
      <sz val="10"/>
      <color rgb="FF262626"/>
      <name val="Aptos"/>
    </font>
    <font>
      <sz val="10"/>
      <color rgb="FFE17305"/>
      <name val="Aptos"/>
    </font>
    <font>
      <sz val="10"/>
      <color rgb="FF117E39"/>
      <name val="Aptos"/>
    </font>
    <font>
      <sz val="8"/>
      <name val="Aptos Narrow"/>
      <family val="2"/>
      <scheme val="minor"/>
    </font>
    <font>
      <b/>
      <sz val="11"/>
      <color rgb="FF001F43"/>
      <name val="Aptos Narrow"/>
      <family val="2"/>
      <scheme val="minor"/>
    </font>
    <font>
      <sz val="11"/>
      <color rgb="FF262626"/>
      <name val="Aptos Narrow"/>
      <family val="2"/>
      <scheme val="minor"/>
    </font>
  </fonts>
  <fills count="14">
    <fill>
      <patternFill patternType="none"/>
    </fill>
    <fill>
      <patternFill patternType="gray125"/>
    </fill>
    <fill>
      <patternFill patternType="solid">
        <fgColor rgb="FF17324D"/>
        <bgColor indexed="64"/>
      </patternFill>
    </fill>
    <fill>
      <patternFill patternType="solid">
        <fgColor rgb="FF2F6690"/>
        <bgColor indexed="64"/>
      </patternFill>
    </fill>
    <fill>
      <patternFill patternType="solid">
        <fgColor rgb="FFEAF2F8"/>
        <bgColor indexed="64"/>
      </patternFill>
    </fill>
    <fill>
      <patternFill patternType="solid">
        <fgColor rgb="FF217346"/>
        <bgColor indexed="64"/>
      </patternFill>
    </fill>
    <fill>
      <patternFill patternType="solid">
        <fgColor rgb="FFF7FAFC"/>
        <bgColor indexed="64"/>
      </patternFill>
    </fill>
    <fill>
      <patternFill patternType="solid">
        <fgColor rgb="FFFFFFFF"/>
        <bgColor indexed="64"/>
      </patternFill>
    </fill>
    <fill>
      <patternFill patternType="solid">
        <fgColor rgb="FF001F43"/>
        <bgColor indexed="64"/>
      </patternFill>
    </fill>
    <fill>
      <patternFill patternType="solid">
        <fgColor rgb="FFB9D5F3"/>
        <bgColor indexed="64"/>
      </patternFill>
    </fill>
    <fill>
      <patternFill patternType="solid">
        <fgColor rgb="FFF2F6FF"/>
        <bgColor indexed="64"/>
      </patternFill>
    </fill>
    <fill>
      <patternFill patternType="solid">
        <fgColor rgb="FFF8F8F8"/>
        <bgColor indexed="64"/>
      </patternFill>
    </fill>
    <fill>
      <patternFill patternType="solid">
        <fgColor rgb="FF6941C6"/>
        <bgColor indexed="64"/>
      </patternFill>
    </fill>
    <fill>
      <patternFill patternType="solid">
        <fgColor rgb="FF0E7490"/>
        <bgColor indexed="64"/>
      </patternFill>
    </fill>
  </fills>
  <borders count="2">
    <border>
      <left/>
      <right/>
      <top/>
      <bottom/>
      <diagonal/>
    </border>
    <border>
      <left/>
      <right/>
      <top/>
      <bottom style="medium">
        <color rgb="FF001F43"/>
      </bottom>
      <diagonal/>
    </border>
  </borders>
  <cellStyleXfs count="1">
    <xf numFmtId="0" fontId="0" fillId="0" borderId="0"/>
  </cellStyleXfs>
  <cellXfs count="50">
    <xf numFmtId="0" fontId="0" fillId="0" borderId="0" xfId="0"/>
    <xf numFmtId="0" fontId="0" fillId="0" borderId="0" xfId="0" applyAlignment="1">
      <alignment wrapText="1"/>
    </xf>
    <xf numFmtId="0" fontId="6" fillId="0" borderId="0" xfId="0" applyFont="1"/>
    <xf numFmtId="0" fontId="6" fillId="0" borderId="0" xfId="0" applyFont="1" applyAlignment="1">
      <alignment wrapText="1"/>
    </xf>
    <xf numFmtId="0" fontId="5" fillId="0" borderId="0" xfId="0" applyFont="1"/>
    <xf numFmtId="0" fontId="5" fillId="0" borderId="0" xfId="0" applyFont="1" applyAlignment="1">
      <alignment wrapText="1"/>
    </xf>
    <xf numFmtId="0" fontId="0" fillId="7" borderId="0" xfId="0" applyFill="1"/>
    <xf numFmtId="0" fontId="6" fillId="7" borderId="0" xfId="0" applyFont="1" applyFill="1" applyAlignment="1">
      <alignment wrapText="1"/>
    </xf>
    <xf numFmtId="0" fontId="5" fillId="7" borderId="0" xfId="0" applyFont="1" applyFill="1" applyAlignment="1">
      <alignment wrapText="1"/>
    </xf>
    <xf numFmtId="0" fontId="8" fillId="10" borderId="1" xfId="0" applyFont="1" applyFill="1" applyBorder="1" applyAlignment="1">
      <alignment wrapText="1"/>
    </xf>
    <xf numFmtId="0" fontId="9" fillId="7" borderId="0" xfId="0" applyFont="1" applyFill="1" applyAlignment="1">
      <alignment wrapText="1"/>
    </xf>
    <xf numFmtId="0" fontId="9" fillId="11" borderId="0" xfId="0" applyFont="1" applyFill="1" applyAlignment="1">
      <alignment wrapText="1"/>
    </xf>
    <xf numFmtId="0" fontId="10" fillId="7" borderId="0" xfId="0" applyFont="1" applyFill="1" applyAlignment="1">
      <alignment wrapText="1"/>
    </xf>
    <xf numFmtId="0" fontId="8" fillId="9" borderId="1" xfId="0" applyFont="1" applyFill="1" applyBorder="1" applyAlignment="1">
      <alignment wrapText="1"/>
    </xf>
    <xf numFmtId="0" fontId="11" fillId="7" borderId="0" xfId="0" applyFont="1" applyFill="1" applyAlignment="1">
      <alignment wrapText="1"/>
    </xf>
    <xf numFmtId="0" fontId="11" fillId="11" borderId="0" xfId="0" applyFont="1" applyFill="1" applyAlignment="1">
      <alignment wrapText="1"/>
    </xf>
    <xf numFmtId="0" fontId="5" fillId="3" borderId="0" xfId="0" applyFont="1" applyFill="1" applyAlignment="1">
      <alignment wrapText="1"/>
    </xf>
    <xf numFmtId="0" fontId="13" fillId="9" borderId="1" xfId="0" applyFont="1" applyFill="1" applyBorder="1" applyAlignment="1">
      <alignment wrapText="1"/>
    </xf>
    <xf numFmtId="0" fontId="14" fillId="7" borderId="0" xfId="0" applyFont="1" applyFill="1" applyAlignment="1">
      <alignment wrapText="1"/>
    </xf>
    <xf numFmtId="0" fontId="14" fillId="11" borderId="0" xfId="0" applyFont="1" applyFill="1" applyAlignment="1">
      <alignment wrapText="1"/>
    </xf>
    <xf numFmtId="0" fontId="7" fillId="3" borderId="0" xfId="0" applyFont="1" applyFill="1" applyAlignment="1">
      <alignment wrapText="1"/>
    </xf>
    <xf numFmtId="9" fontId="6" fillId="0" borderId="0" xfId="0" applyNumberFormat="1" applyFont="1" applyAlignment="1">
      <alignment wrapText="1"/>
    </xf>
    <xf numFmtId="164" fontId="0" fillId="0" borderId="0" xfId="0" applyNumberFormat="1"/>
    <xf numFmtId="0" fontId="0" fillId="0" borderId="0" xfId="0" applyAlignment="1">
      <alignment vertical="top"/>
    </xf>
    <xf numFmtId="0" fontId="0" fillId="0" borderId="0" xfId="0" applyAlignment="1">
      <alignment vertical="top" wrapText="1"/>
    </xf>
    <xf numFmtId="165" fontId="0" fillId="0" borderId="0" xfId="0" applyNumberFormat="1"/>
    <xf numFmtId="165" fontId="0" fillId="0" borderId="0" xfId="0" applyNumberFormat="1" applyAlignment="1">
      <alignment vertical="top" wrapText="1"/>
    </xf>
    <xf numFmtId="1" fontId="0" fillId="0" borderId="0" xfId="0" applyNumberFormat="1" applyAlignment="1">
      <alignment vertical="top" wrapText="1"/>
    </xf>
    <xf numFmtId="0" fontId="0" fillId="7" borderId="0" xfId="0" applyFill="1" applyAlignment="1">
      <alignment wrapText="1"/>
    </xf>
    <xf numFmtId="0" fontId="6" fillId="7" borderId="0" xfId="0" applyFont="1" applyFill="1" applyAlignment="1">
      <alignment wrapText="1"/>
    </xf>
    <xf numFmtId="0" fontId="5" fillId="7" borderId="0" xfId="0" applyFont="1" applyFill="1" applyAlignment="1">
      <alignment wrapText="1"/>
    </xf>
    <xf numFmtId="0" fontId="3" fillId="2" borderId="0" xfId="0" applyFont="1" applyFill="1" applyAlignment="1">
      <alignment horizontal="left" vertical="center" indent="1"/>
    </xf>
    <xf numFmtId="0" fontId="4" fillId="8" borderId="0" xfId="0" applyFont="1" applyFill="1" applyAlignment="1">
      <alignment horizontal="left" vertical="center" indent="3"/>
    </xf>
    <xf numFmtId="0" fontId="8" fillId="9" borderId="0" xfId="0" applyFont="1" applyFill="1" applyAlignment="1">
      <alignment wrapText="1"/>
    </xf>
    <xf numFmtId="0" fontId="5" fillId="3" borderId="0" xfId="0" applyFont="1" applyFill="1"/>
    <xf numFmtId="0" fontId="6" fillId="4" borderId="0" xfId="0" applyFont="1" applyFill="1" applyAlignment="1">
      <alignment wrapText="1"/>
    </xf>
    <xf numFmtId="0" fontId="1" fillId="0" borderId="0" xfId="0" applyFont="1" applyAlignment="1">
      <alignment wrapText="1"/>
    </xf>
    <xf numFmtId="0" fontId="4" fillId="0" borderId="0" xfId="0" applyFont="1" applyAlignment="1">
      <alignment horizontal="left" vertical="center" indent="3"/>
    </xf>
    <xf numFmtId="0" fontId="5" fillId="3" borderId="0" xfId="0" applyFont="1" applyFill="1" applyAlignment="1">
      <alignment horizontal="center"/>
    </xf>
    <xf numFmtId="0" fontId="5" fillId="6" borderId="0" xfId="0" applyFont="1" applyFill="1" applyAlignment="1">
      <alignment horizontal="center"/>
    </xf>
    <xf numFmtId="0" fontId="5" fillId="5" borderId="0" xfId="0" applyFont="1" applyFill="1" applyAlignment="1">
      <alignment horizontal="center"/>
    </xf>
    <xf numFmtId="0" fontId="5" fillId="12" borderId="0" xfId="0" applyFont="1" applyFill="1" applyAlignment="1">
      <alignment horizontal="center"/>
    </xf>
    <xf numFmtId="0" fontId="5" fillId="13" borderId="0" xfId="0" applyFont="1" applyFill="1" applyAlignment="1">
      <alignment horizontal="center"/>
    </xf>
    <xf numFmtId="9" fontId="5" fillId="6" borderId="0" xfId="0" applyNumberFormat="1" applyFont="1" applyFill="1" applyAlignment="1">
      <alignment horizontal="center"/>
    </xf>
    <xf numFmtId="0" fontId="0" fillId="4" borderId="0" xfId="0" applyFill="1" applyAlignment="1">
      <alignment wrapText="1"/>
    </xf>
    <xf numFmtId="0" fontId="0" fillId="4" borderId="0" xfId="0" applyFill="1"/>
    <xf numFmtId="0" fontId="5" fillId="7" borderId="0" xfId="0" applyFont="1" applyFill="1" applyAlignment="1">
      <alignment horizontal="center" vertical="center" wrapText="1"/>
    </xf>
    <xf numFmtId="0" fontId="2" fillId="0" borderId="0" xfId="0" applyFont="1" applyAlignment="1">
      <alignment wrapText="1"/>
    </xf>
    <xf numFmtId="0" fontId="6" fillId="7" borderId="0" xfId="0" applyFont="1" applyFill="1" applyAlignment="1">
      <alignment vertical="top" wrapText="1"/>
    </xf>
    <xf numFmtId="0" fontId="5" fillId="12" borderId="0" xfId="0" applyFont="1" applyFill="1" applyAlignment="1">
      <alignment wrapText="1"/>
    </xf>
  </cellXfs>
  <cellStyles count="1">
    <cellStyle name="Normal" xfId="0" builtinId="0"/>
  </cellStyles>
  <dxfs count="197">
    <dxf>
      <font>
        <b/>
        <i val="0"/>
        <color rgb="FFB42318"/>
      </font>
    </dxf>
    <dxf>
      <font>
        <color rgb="FF217346"/>
      </font>
    </dxf>
    <dxf>
      <font>
        <sz val="10"/>
        <color rgb="FF262626"/>
        <name val="Aptos"/>
      </font>
      <fill>
        <patternFill patternType="solid">
          <fgColor indexed="64"/>
          <bgColor rgb="FFFFFFFF"/>
        </patternFill>
      </fill>
      <alignment wrapText="1"/>
    </dxf>
    <dxf>
      <font>
        <sz val="10"/>
        <color rgb="FF262626"/>
        <name val="Aptos"/>
      </font>
      <fill>
        <patternFill patternType="solid">
          <fgColor indexed="64"/>
          <bgColor rgb="FFFFFFFF"/>
        </patternFill>
      </fill>
      <alignment wrapText="1"/>
    </dxf>
    <dxf>
      <border diagonalUp="0" diagonalDown="0">
        <left style="thin">
          <color rgb="FFD9D9D9"/>
        </left>
        <right style="thin">
          <color rgb="FFD9D9D9"/>
        </right>
        <top style="thin">
          <color rgb="FFD9D9D9"/>
        </top>
        <bottom style="thin">
          <color rgb="FFD9D9D9"/>
        </bottom>
      </border>
    </dxf>
    <dxf>
      <font>
        <sz val="10"/>
        <color rgb="FF262626"/>
        <name val="Aptos"/>
      </font>
      <fill>
        <patternFill patternType="solid">
          <fgColor indexed="64"/>
          <bgColor rgb="FFFFFFFF"/>
        </patternFill>
      </fill>
      <alignment wrapText="1"/>
    </dxf>
    <dxf>
      <border>
        <bottom style="medium">
          <color rgb="FF001F43"/>
        </bottom>
      </border>
    </dxf>
    <dxf>
      <font>
        <b/>
        <sz val="10"/>
        <color rgb="FF001F43"/>
        <name val="Aptos"/>
      </font>
      <fill>
        <patternFill patternType="solid">
          <fgColor indexed="64"/>
          <bgColor rgb="FFF2F6FF"/>
        </patternFill>
      </fill>
      <alignment wrapText="1"/>
    </dxf>
    <dxf>
      <numFmt numFmtId="164" formatCode="yyyy\-mm\-dd\ hh:mm"/>
    </dxf>
    <dxf>
      <font>
        <sz val="10"/>
        <color rgb="FF262626"/>
        <name val="Aptos"/>
      </font>
      <fill>
        <patternFill patternType="solid">
          <fgColor indexed="64"/>
          <bgColor rgb="FFFFFFFF"/>
        </patternFill>
      </fill>
      <alignment wrapText="1"/>
    </dxf>
    <dxf>
      <font>
        <sz val="10"/>
        <color rgb="FF262626"/>
        <name val="Aptos"/>
      </font>
      <fill>
        <patternFill patternType="solid">
          <fgColor indexed="64"/>
          <bgColor rgb="FFFFFFFF"/>
        </patternFill>
      </fill>
      <alignment wrapText="1"/>
    </dxf>
    <dxf>
      <font>
        <sz val="10"/>
        <color rgb="FF262626"/>
        <name val="Aptos"/>
      </font>
      <fill>
        <patternFill patternType="solid">
          <fgColor indexed="64"/>
          <bgColor rgb="FFFFFFFF"/>
        </patternFill>
      </fill>
      <alignment wrapText="1"/>
    </dxf>
    <dxf>
      <font>
        <sz val="10"/>
        <color rgb="FF262626"/>
        <name val="Aptos"/>
      </font>
      <fill>
        <patternFill patternType="solid">
          <fgColor indexed="64"/>
          <bgColor rgb="FFFFFFFF"/>
        </patternFill>
      </fill>
      <alignment wrapText="1"/>
    </dxf>
    <dxf>
      <border diagonalUp="0" diagonalDown="0">
        <left style="thin">
          <color rgb="FFD9D9D9"/>
        </left>
        <right style="thin">
          <color rgb="FFD9D9D9"/>
        </right>
        <top style="thin">
          <color rgb="FFD9D9D9"/>
        </top>
        <bottom style="thin">
          <color rgb="FFD9D9D9"/>
        </bottom>
      </border>
    </dxf>
    <dxf>
      <font>
        <sz val="10"/>
        <color rgb="FF262626"/>
        <name val="Aptos"/>
      </font>
      <fill>
        <patternFill patternType="solid">
          <fgColor indexed="64"/>
          <bgColor rgb="FFFFFFFF"/>
        </patternFill>
      </fill>
      <alignment wrapText="1"/>
    </dxf>
    <dxf>
      <border>
        <bottom style="medium">
          <color rgb="FF001F43"/>
        </bottom>
      </border>
    </dxf>
    <dxf>
      <font>
        <b/>
        <sz val="10"/>
        <color rgb="FF001F43"/>
        <name val="Aptos"/>
      </font>
      <fill>
        <patternFill patternType="solid">
          <fgColor indexed="64"/>
          <bgColor rgb="FFB9D5F3"/>
        </patternFill>
      </fill>
      <alignment wrapText="1"/>
    </dxf>
    <dxf>
      <alignment vertical="top" wrapText="1"/>
    </dxf>
    <dxf>
      <alignment vertical="top" wrapText="1"/>
    </dxf>
    <dxf>
      <alignment vertical="top" wrapText="1"/>
    </dxf>
    <dxf>
      <alignment vertical="top" wrapText="1"/>
    </dxf>
    <dxf>
      <alignment vertical="top" wrapText="1"/>
    </dxf>
    <dxf>
      <alignment vertical="top" wrapText="1"/>
    </dxf>
    <dxf>
      <alignment vertical="top" wrapText="1"/>
    </dxf>
    <dxf>
      <alignment vertical="top" wrapText="1"/>
    </dxf>
    <dxf>
      <alignment wrapText="1"/>
    </dxf>
    <dxf>
      <alignment vertical="top" wrapText="1"/>
    </dxf>
    <dxf>
      <alignment vertical="top" wrapText="1"/>
    </dxf>
    <dxf>
      <alignment vertical="top" wrapText="1"/>
    </dxf>
    <dxf>
      <alignment vertical="top" wrapText="1"/>
    </dxf>
    <dxf>
      <alignment vertical="top" wrapText="1"/>
    </dxf>
    <dxf>
      <alignment vertical="top" wrapText="1"/>
    </dxf>
    <dxf>
      <alignment vertical="top" wrapText="1"/>
    </dxf>
    <dxf>
      <alignment vertical="top" wrapText="1"/>
    </dxf>
    <dxf>
      <alignment vertical="top" wrapText="1"/>
    </dxf>
    <dxf>
      <alignment vertical="top" wrapText="1"/>
    </dxf>
    <dxf>
      <alignment vertical="top" wrapText="1"/>
    </dxf>
    <dxf>
      <alignment vertical="top" wrapText="1"/>
    </dxf>
    <dxf>
      <alignment vertical="top" wrapText="1"/>
    </dxf>
    <dxf>
      <alignment vertical="top" wrapText="1"/>
    </dxf>
    <dxf>
      <alignment vertical="top" wrapText="1"/>
    </dxf>
    <dxf>
      <alignment wrapText="1"/>
    </dxf>
    <dxf>
      <numFmt numFmtId="165" formatCode="yyyy\-mm\-dd"/>
    </dxf>
    <dxf>
      <numFmt numFmtId="0" formatCode="General"/>
      <alignment vertical="top" wrapText="1"/>
    </dxf>
    <dxf>
      <numFmt numFmtId="0" formatCode="General"/>
      <alignment vertical="top" wrapText="1"/>
    </dxf>
    <dxf>
      <numFmt numFmtId="0" formatCode="General"/>
      <alignment vertical="top" wrapText="1"/>
    </dxf>
    <dxf>
      <numFmt numFmtId="0" formatCode="General"/>
      <alignment vertical="top" wrapText="1"/>
    </dxf>
    <dxf>
      <numFmt numFmtId="1" formatCode="0"/>
      <alignment vertical="top" wrapText="1"/>
    </dxf>
    <dxf>
      <numFmt numFmtId="165" formatCode="yyyy\-mm\-dd"/>
      <alignment vertical="top" wrapText="1"/>
    </dxf>
    <dxf>
      <alignment vertical="top" wrapText="1"/>
    </dxf>
    <dxf>
      <alignment vertical="top" wrapText="1"/>
    </dxf>
    <dxf>
      <alignment vertical="top" wrapText="1"/>
    </dxf>
    <dxf>
      <alignment vertical="top" wrapText="1"/>
    </dxf>
    <dxf>
      <alignment vertical="top" wrapText="1"/>
    </dxf>
    <dxf>
      <alignment vertical="top" wrapText="1"/>
    </dxf>
    <dxf>
      <alignment vertical="top" wrapText="1"/>
    </dxf>
    <dxf>
      <numFmt numFmtId="165" formatCode="yyyy\-mm\-dd"/>
      <alignment vertical="top" wrapText="1"/>
    </dxf>
    <dxf>
      <numFmt numFmtId="165" formatCode="yyyy\-mm\-dd"/>
      <alignment vertical="top" wrapText="1"/>
    </dxf>
    <dxf>
      <numFmt numFmtId="165" formatCode="yyyy\-mm\-dd"/>
      <alignment vertical="top" wrapText="1"/>
    </dxf>
    <dxf>
      <alignment vertical="top" wrapText="1"/>
    </dxf>
    <dxf>
      <alignment vertical="top" wrapText="1"/>
    </dxf>
    <dxf>
      <alignment vertical="top" wrapText="1"/>
    </dxf>
    <dxf>
      <alignment vertical="top" wrapText="1"/>
    </dxf>
    <dxf>
      <alignment vertical="top" wrapText="1"/>
    </dxf>
    <dxf>
      <alignment vertical="top" wrapText="1"/>
    </dxf>
    <dxf>
      <alignment vertical="top" wrapText="1"/>
    </dxf>
    <dxf>
      <alignment vertical="top" wrapText="1"/>
    </dxf>
    <dxf>
      <alignment vertical="top" wrapText="1"/>
    </dxf>
    <dxf>
      <alignment vertical="top" wrapText="1"/>
    </dxf>
    <dxf>
      <alignment vertical="top" wrapText="1"/>
    </dxf>
    <dxf>
      <alignment vertical="top" wrapText="1"/>
    </dxf>
    <dxf>
      <alignment vertical="top" wrapText="1"/>
    </dxf>
    <dxf>
      <alignment vertical="top" wrapText="1"/>
    </dxf>
    <dxf>
      <alignment vertical="top" wrapText="1"/>
    </dxf>
    <dxf>
      <alignment vertical="top" wrapText="1"/>
    </dxf>
    <dxf>
      <alignment wrapText="1"/>
    </dxf>
    <dxf>
      <alignment vertical="top" wrapText="1"/>
    </dxf>
    <dxf>
      <alignment vertical="top" wrapText="1"/>
    </dxf>
    <dxf>
      <alignment vertical="top" wrapText="1"/>
    </dxf>
    <dxf>
      <alignment vertical="top" wrapText="1"/>
    </dxf>
    <dxf>
      <alignment vertical="top" wrapText="1"/>
    </dxf>
    <dxf>
      <alignment vertical="top" wrapText="1"/>
    </dxf>
    <dxf>
      <alignment vertical="top" wrapText="1"/>
    </dxf>
    <dxf>
      <alignment vertical="top" wrapText="1"/>
    </dxf>
    <dxf>
      <alignment vertical="top" wrapText="1"/>
    </dxf>
    <dxf>
      <alignment vertical="top"/>
    </dxf>
    <dxf>
      <alignment vertical="top"/>
    </dxf>
    <dxf>
      <alignment vertical="top"/>
    </dxf>
    <dxf>
      <alignment vertical="top"/>
    </dxf>
    <dxf>
      <alignment vertical="top"/>
    </dxf>
    <dxf>
      <alignment vertical="top" wrapText="1"/>
    </dxf>
    <dxf>
      <font>
        <sz val="10"/>
        <color rgb="FF1F2937"/>
        <name val="Aptos"/>
      </font>
      <alignment wrapText="1"/>
    </dxf>
    <dxf>
      <font>
        <sz val="10"/>
        <color rgb="FF1F2937"/>
        <name val="Aptos"/>
      </font>
      <alignment wrapText="1"/>
    </dxf>
    <dxf>
      <font>
        <sz val="10"/>
        <color rgb="FF1F2937"/>
        <name val="Aptos"/>
      </font>
      <alignment wrapText="1"/>
    </dxf>
    <dxf>
      <font>
        <sz val="10"/>
        <color rgb="FF1F2937"/>
        <name val="Aptos"/>
      </font>
      <alignment wrapText="1"/>
    </dxf>
    <dxf>
      <font>
        <sz val="10"/>
        <color rgb="FF1F2937"/>
        <name val="Aptos"/>
      </font>
      <alignment wrapText="1"/>
    </dxf>
    <dxf>
      <font>
        <sz val="10"/>
        <color rgb="FF1F2937"/>
        <name val="Aptos"/>
      </font>
      <alignment wrapText="1"/>
    </dxf>
    <dxf>
      <font>
        <sz val="10"/>
        <color rgb="FF1F2937"/>
        <name val="Aptos"/>
      </font>
      <alignment wrapText="1"/>
    </dxf>
    <dxf>
      <font>
        <sz val="10"/>
        <color rgb="FF1F2937"/>
        <name val="Aptos"/>
      </font>
      <alignment wrapText="1"/>
    </dxf>
    <dxf>
      <alignment vertical="top" wrapText="1"/>
    </dxf>
    <dxf>
      <alignment vertical="top" wrapText="1"/>
    </dxf>
    <dxf>
      <alignment vertical="top" wrapText="1"/>
    </dxf>
    <dxf>
      <alignment vertical="top" wrapText="1"/>
    </dxf>
    <dxf>
      <alignment vertical="top" wrapText="1"/>
    </dxf>
    <dxf>
      <alignment vertical="top" wrapText="1"/>
    </dxf>
    <dxf>
      <alignment vertical="top" wrapText="1"/>
    </dxf>
    <dxf>
      <alignment vertical="top" wrapText="1"/>
    </dxf>
    <dxf>
      <alignment vertical="top" wrapText="1"/>
    </dxf>
    <dxf>
      <alignment wrapText="1"/>
    </dxf>
    <dxf>
      <alignment vertical="top" wrapText="1"/>
    </dxf>
    <dxf>
      <alignment vertical="top" wrapText="1"/>
    </dxf>
    <dxf>
      <alignment vertical="top" wrapText="1"/>
    </dxf>
    <dxf>
      <alignment vertical="top" wrapText="1"/>
    </dxf>
    <dxf>
      <alignment vertical="top" wrapText="1"/>
    </dxf>
    <dxf>
      <alignment vertical="top" wrapText="1"/>
    </dxf>
    <dxf>
      <alignment vertical="top" wrapText="1"/>
    </dxf>
    <dxf>
      <alignment vertical="top" wrapText="1"/>
    </dxf>
    <dxf>
      <alignment vertical="top" wrapText="1"/>
    </dxf>
    <dxf>
      <alignment vertical="top" wrapText="1"/>
    </dxf>
    <dxf>
      <alignment vertical="top" wrapText="1"/>
    </dxf>
    <dxf>
      <alignment wrapText="1"/>
    </dxf>
    <dxf>
      <alignment vertical="top" wrapText="1"/>
    </dxf>
    <dxf>
      <alignment vertical="top" wrapText="1"/>
    </dxf>
    <dxf>
      <alignment vertical="top" wrapText="1"/>
    </dxf>
    <dxf>
      <alignment vertical="top" wrapText="1"/>
    </dxf>
    <dxf>
      <alignment vertical="top" wrapText="1"/>
    </dxf>
    <dxf>
      <alignment vertical="top" wrapText="1"/>
    </dxf>
    <dxf>
      <alignment vertical="top" wrapText="1"/>
    </dxf>
    <dxf>
      <alignment vertical="top" wrapText="1"/>
    </dxf>
    <dxf>
      <alignment vertical="top" wrapText="1"/>
    </dxf>
    <dxf>
      <alignment vertical="top" wrapText="1"/>
    </dxf>
    <dxf>
      <alignment vertical="top" wrapText="1"/>
    </dxf>
    <dxf>
      <alignment wrapText="1"/>
    </dxf>
    <dxf>
      <font>
        <color rgb="FF262626"/>
      </font>
      <fill>
        <patternFill patternType="solid">
          <fgColor indexed="64"/>
          <bgColor rgb="FFFFFFFF"/>
        </patternFill>
      </fill>
      <alignment wrapText="1"/>
    </dxf>
    <dxf>
      <font>
        <color rgb="FF262626"/>
      </font>
      <fill>
        <patternFill patternType="solid">
          <fgColor indexed="64"/>
          <bgColor rgb="FFFFFFFF"/>
        </patternFill>
      </fill>
      <alignment wrapText="1"/>
    </dxf>
    <dxf>
      <font>
        <color rgb="FF262626"/>
      </font>
      <fill>
        <patternFill patternType="solid">
          <fgColor indexed="64"/>
          <bgColor rgb="FFFFFFFF"/>
        </patternFill>
      </fill>
      <alignment wrapText="1"/>
    </dxf>
    <dxf>
      <border diagonalUp="0" diagonalDown="0">
        <left style="thin">
          <color rgb="FFD9D9D9"/>
        </left>
        <right style="thin">
          <color rgb="FFD9D9D9"/>
        </right>
        <top style="thin">
          <color rgb="FFD9D9D9"/>
        </top>
        <bottom style="thin">
          <color rgb="FFD9D9D9"/>
        </bottom>
      </border>
    </dxf>
    <dxf>
      <font>
        <color rgb="FF262626"/>
      </font>
      <fill>
        <patternFill patternType="solid">
          <fgColor indexed="64"/>
          <bgColor rgb="FFFFFFFF"/>
        </patternFill>
      </fill>
      <alignment wrapText="1"/>
    </dxf>
    <dxf>
      <border>
        <bottom style="medium">
          <color rgb="FF001F43"/>
        </bottom>
      </border>
    </dxf>
    <dxf>
      <font>
        <b/>
        <color rgb="FF001F43"/>
      </font>
      <fill>
        <patternFill patternType="solid">
          <fgColor indexed="64"/>
          <bgColor rgb="FFB9D5F3"/>
        </patternFill>
      </fill>
      <alignment wrapText="1"/>
    </dxf>
    <dxf>
      <font>
        <color rgb="FF262626"/>
      </font>
      <fill>
        <patternFill patternType="solid">
          <fgColor indexed="64"/>
          <bgColor rgb="FFFFFFFF"/>
        </patternFill>
      </fill>
      <alignment wrapText="1"/>
    </dxf>
    <dxf>
      <font>
        <color rgb="FF262626"/>
      </font>
      <fill>
        <patternFill patternType="solid">
          <fgColor indexed="64"/>
          <bgColor rgb="FFFFFFFF"/>
        </patternFill>
      </fill>
      <alignment wrapText="1"/>
    </dxf>
    <dxf>
      <font>
        <color rgb="FF262626"/>
      </font>
      <fill>
        <patternFill patternType="solid">
          <fgColor indexed="64"/>
          <bgColor rgb="FFFFFFFF"/>
        </patternFill>
      </fill>
      <alignment wrapText="1"/>
    </dxf>
    <dxf>
      <font>
        <color rgb="FF262626"/>
      </font>
      <fill>
        <patternFill patternType="solid">
          <fgColor indexed="64"/>
          <bgColor rgb="FFFFFFFF"/>
        </patternFill>
      </fill>
      <alignment wrapText="1"/>
    </dxf>
    <dxf>
      <font>
        <color rgb="FF262626"/>
      </font>
      <fill>
        <patternFill patternType="solid">
          <fgColor indexed="64"/>
          <bgColor rgb="FFFFFFFF"/>
        </patternFill>
      </fill>
      <alignment wrapText="1"/>
    </dxf>
    <dxf>
      <border diagonalUp="0" diagonalDown="0">
        <left style="thin">
          <color rgb="FFD9D9D9"/>
        </left>
        <right style="thin">
          <color rgb="FFD9D9D9"/>
        </right>
        <top style="thin">
          <color rgb="FFD9D9D9"/>
        </top>
        <bottom style="thin">
          <color rgb="FFD9D9D9"/>
        </bottom>
      </border>
    </dxf>
    <dxf>
      <font>
        <color rgb="FF262626"/>
      </font>
      <fill>
        <patternFill patternType="solid">
          <fgColor indexed="64"/>
          <bgColor rgb="FFFFFFFF"/>
        </patternFill>
      </fill>
      <alignment wrapText="1"/>
    </dxf>
    <dxf>
      <border>
        <bottom style="medium">
          <color rgb="FF001F43"/>
        </bottom>
      </border>
    </dxf>
    <dxf>
      <font>
        <b/>
        <color rgb="FF001F43"/>
      </font>
      <fill>
        <patternFill patternType="solid">
          <fgColor indexed="64"/>
          <bgColor rgb="FFB9D5F3"/>
        </patternFill>
      </fill>
      <alignment wrapText="1"/>
    </dxf>
    <dxf>
      <font>
        <sz val="10"/>
        <color rgb="FF262626"/>
        <name val="Aptos"/>
      </font>
      <fill>
        <patternFill patternType="solid">
          <fgColor indexed="64"/>
          <bgColor rgb="FFFFFFFF"/>
        </patternFill>
      </fill>
      <alignment wrapText="1"/>
    </dxf>
    <dxf>
      <font>
        <sz val="10"/>
        <color rgb="FF262626"/>
        <name val="Aptos"/>
      </font>
      <fill>
        <patternFill patternType="solid">
          <fgColor indexed="64"/>
          <bgColor rgb="FFFFFFFF"/>
        </patternFill>
      </fill>
      <alignment wrapText="1"/>
    </dxf>
    <dxf>
      <font>
        <sz val="10"/>
        <color rgb="FF262626"/>
        <name val="Aptos"/>
      </font>
      <fill>
        <patternFill patternType="solid">
          <fgColor indexed="64"/>
          <bgColor rgb="FFFFFFFF"/>
        </patternFill>
      </fill>
      <alignment wrapText="1"/>
    </dxf>
    <dxf>
      <font>
        <sz val="10"/>
        <color rgb="FF262626"/>
        <name val="Aptos"/>
      </font>
      <fill>
        <patternFill patternType="solid">
          <fgColor indexed="64"/>
          <bgColor rgb="FFFFFFFF"/>
        </patternFill>
      </fill>
      <alignment wrapText="1"/>
    </dxf>
    <dxf>
      <font>
        <sz val="10"/>
        <color rgb="FF262626"/>
        <name val="Aptos"/>
      </font>
      <fill>
        <patternFill patternType="solid">
          <fgColor indexed="64"/>
          <bgColor rgb="FFFFFFFF"/>
        </patternFill>
      </fill>
      <alignment wrapText="1"/>
    </dxf>
    <dxf>
      <font>
        <sz val="10"/>
        <color rgb="FF262626"/>
        <name val="Aptos"/>
      </font>
      <fill>
        <patternFill patternType="solid">
          <fgColor indexed="64"/>
          <bgColor rgb="FFFFFFFF"/>
        </patternFill>
      </fill>
      <alignment wrapText="1"/>
    </dxf>
    <dxf>
      <font>
        <sz val="10"/>
        <color rgb="FF262626"/>
        <name val="Aptos"/>
      </font>
      <fill>
        <patternFill patternType="solid">
          <fgColor indexed="64"/>
          <bgColor rgb="FFFFFFFF"/>
        </patternFill>
      </fill>
      <alignment wrapText="1"/>
    </dxf>
    <dxf>
      <font>
        <sz val="10"/>
        <color rgb="FF262626"/>
        <name val="Aptos"/>
      </font>
      <fill>
        <patternFill patternType="solid">
          <fgColor indexed="64"/>
          <bgColor rgb="FFFFFFFF"/>
        </patternFill>
      </fill>
      <alignment wrapText="1"/>
    </dxf>
    <dxf>
      <font>
        <sz val="10"/>
        <color rgb="FF262626"/>
        <name val="Aptos"/>
      </font>
      <fill>
        <patternFill patternType="solid">
          <fgColor indexed="64"/>
          <bgColor rgb="FFFFFFFF"/>
        </patternFill>
      </fill>
      <alignment wrapText="1"/>
    </dxf>
    <dxf>
      <font>
        <sz val="10"/>
        <color rgb="FF262626"/>
        <name val="Aptos"/>
      </font>
      <fill>
        <patternFill patternType="solid">
          <fgColor indexed="64"/>
          <bgColor rgb="FFFFFFFF"/>
        </patternFill>
      </fill>
      <alignment wrapText="1"/>
    </dxf>
    <dxf>
      <font>
        <sz val="10"/>
        <color rgb="FF262626"/>
        <name val="Aptos"/>
      </font>
      <fill>
        <patternFill patternType="solid">
          <fgColor indexed="64"/>
          <bgColor rgb="FFFFFFFF"/>
        </patternFill>
      </fill>
      <alignment wrapText="1"/>
    </dxf>
    <dxf>
      <font>
        <sz val="10"/>
        <color rgb="FF262626"/>
        <name val="Aptos"/>
      </font>
      <fill>
        <patternFill patternType="solid">
          <fgColor indexed="64"/>
          <bgColor rgb="FFFFFFFF"/>
        </patternFill>
      </fill>
      <alignment wrapText="1"/>
    </dxf>
    <dxf>
      <font>
        <sz val="10"/>
        <color rgb="FF262626"/>
        <name val="Aptos"/>
      </font>
      <fill>
        <patternFill patternType="solid">
          <fgColor indexed="64"/>
          <bgColor rgb="FFFFFFFF"/>
        </patternFill>
      </fill>
      <alignment wrapText="1"/>
    </dxf>
    <dxf>
      <font>
        <sz val="10"/>
        <color rgb="FF262626"/>
        <name val="Aptos"/>
      </font>
      <fill>
        <patternFill patternType="solid">
          <fgColor indexed="64"/>
          <bgColor rgb="FFFFFFFF"/>
        </patternFill>
      </fill>
      <alignment wrapText="1"/>
    </dxf>
    <dxf>
      <font>
        <sz val="10"/>
        <color rgb="FF262626"/>
        <name val="Aptos"/>
      </font>
      <fill>
        <patternFill patternType="solid">
          <fgColor indexed="64"/>
          <bgColor rgb="FFFFFFFF"/>
        </patternFill>
      </fill>
      <alignment wrapText="1"/>
    </dxf>
    <dxf>
      <font>
        <sz val="10"/>
        <color rgb="FF262626"/>
        <name val="Aptos"/>
      </font>
      <fill>
        <patternFill patternType="solid">
          <fgColor indexed="64"/>
          <bgColor rgb="FFFFFFFF"/>
        </patternFill>
      </fill>
      <alignment wrapText="1"/>
    </dxf>
    <dxf>
      <border diagonalUp="0" diagonalDown="0">
        <left style="thin">
          <color rgb="FFD9D9D9"/>
        </left>
        <right style="thin">
          <color rgb="FFD9D9D9"/>
        </right>
        <top style="thin">
          <color rgb="FFD9D9D9"/>
        </top>
        <bottom style="thin">
          <color rgb="FFD9D9D9"/>
        </bottom>
      </border>
    </dxf>
    <dxf>
      <font>
        <sz val="10"/>
        <color rgb="FF262626"/>
        <name val="Aptos"/>
      </font>
      <fill>
        <patternFill patternType="solid">
          <fgColor indexed="64"/>
          <bgColor rgb="FFFFFFFF"/>
        </patternFill>
      </fill>
      <alignment wrapText="1"/>
    </dxf>
    <dxf>
      <border>
        <bottom style="medium">
          <color rgb="FF001F43"/>
        </bottom>
      </border>
    </dxf>
    <dxf>
      <font>
        <b/>
        <sz val="10"/>
        <color rgb="FF001F43"/>
        <name val="Aptos"/>
      </font>
      <fill>
        <patternFill patternType="solid">
          <fgColor indexed="64"/>
          <bgColor rgb="FFB9D5F3"/>
        </patternFill>
      </fill>
      <alignment wrapText="1"/>
    </dxf>
    <dxf>
      <alignment vertical="top" wrapText="1"/>
    </dxf>
    <dxf>
      <alignment vertical="top" wrapText="1"/>
    </dxf>
    <dxf>
      <alignment vertical="top" wrapText="1"/>
    </dxf>
    <dxf>
      <alignment vertical="top" wrapText="1"/>
    </dxf>
    <dxf>
      <alignment vertical="top" wrapText="1"/>
    </dxf>
    <dxf>
      <alignment vertical="top" wrapText="1"/>
    </dxf>
    <dxf>
      <alignment vertical="top" wrapText="1"/>
    </dxf>
    <dxf>
      <alignment vertical="top" wrapText="1"/>
    </dxf>
    <dxf>
      <alignment vertical="top" wrapText="1"/>
    </dxf>
    <dxf>
      <alignment vertical="top" wrapText="1"/>
    </dxf>
    <dxf>
      <alignment vertical="top" wrapText="1"/>
    </dxf>
    <dxf>
      <alignment wrapText="1"/>
    </dxf>
    <dxf>
      <font>
        <sz val="10"/>
        <color rgb="FF262626"/>
        <name val="Aptos"/>
      </font>
      <fill>
        <patternFill patternType="solid">
          <fgColor indexed="64"/>
          <bgColor rgb="FFFFFFFF"/>
        </patternFill>
      </fill>
      <alignment wrapText="1"/>
    </dxf>
    <dxf>
      <font>
        <sz val="10"/>
        <color rgb="FF262626"/>
        <name val="Aptos"/>
      </font>
      <fill>
        <patternFill patternType="solid">
          <fgColor indexed="64"/>
          <bgColor rgb="FFFFFFFF"/>
        </patternFill>
      </fill>
      <alignment wrapText="1"/>
    </dxf>
    <dxf>
      <border diagonalUp="0" diagonalDown="0">
        <left style="thin">
          <color rgb="FFD9D9D9"/>
        </left>
        <right style="thin">
          <color rgb="FFD9D9D9"/>
        </right>
        <top style="thin">
          <color rgb="FFD9D9D9"/>
        </top>
        <bottom style="thin">
          <color rgb="FFD9D9D9"/>
        </bottom>
      </border>
    </dxf>
    <dxf>
      <font>
        <sz val="10"/>
        <color rgb="FF262626"/>
        <name val="Aptos"/>
      </font>
      <fill>
        <patternFill patternType="solid">
          <fgColor indexed="64"/>
          <bgColor rgb="FFFFFFFF"/>
        </patternFill>
      </fill>
      <alignment wrapText="1"/>
    </dxf>
    <dxf>
      <border>
        <bottom style="medium">
          <color rgb="FF001F43"/>
        </bottom>
      </border>
    </dxf>
    <dxf>
      <font>
        <b/>
        <sz val="10"/>
        <color rgb="FF001F43"/>
        <name val="Aptos"/>
      </font>
      <fill>
        <patternFill patternType="solid">
          <fgColor indexed="64"/>
          <bgColor rgb="FFF2F6FF"/>
        </patternFill>
      </fill>
      <alignment wrapText="1"/>
    </dxf>
    <dxf>
      <alignment vertical="top" wrapText="1"/>
    </dxf>
    <dxf>
      <alignment vertical="top" wrapText="1"/>
    </dxf>
    <dxf>
      <numFmt numFmtId="165" formatCode="yyyy\-mm\-dd"/>
      <alignment vertical="top" wrapText="1"/>
    </dxf>
    <dxf>
      <alignment vertical="top" wrapText="1"/>
    </dxf>
    <dxf>
      <alignment vertical="top" wrapText="1"/>
    </dxf>
    <dxf>
      <alignment vertical="top" wrapText="1"/>
    </dxf>
    <dxf>
      <alignment vertical="top" wrapText="1"/>
    </dxf>
    <dxf>
      <alignment vertical="top" wrapText="1"/>
    </dxf>
    <dxf>
      <alignment vertical="top" wrapText="1"/>
    </dxf>
    <dxf>
      <alignment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Records by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'Analytics Data'!$B$1</c:f>
              <c:strCache>
                <c:ptCount val="1"/>
                <c:pt idx="0">
                  <c:v>Count</c:v>
                </c:pt>
              </c:strCache>
            </c:strRef>
          </c:tx>
          <c:spPr>
            <a:solidFill>
              <a:schemeClr val="accent1"/>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'Analytics Data'!$A$2:$A$8</c:f>
              <c:strCache>
                <c:ptCount val="7"/>
                <c:pt idx="0">
                  <c:v>Evaluation Bullet</c:v>
                </c:pt>
                <c:pt idx="1">
                  <c:v>Award</c:v>
                </c:pt>
                <c:pt idx="2">
                  <c:v>Service School</c:v>
                </c:pt>
                <c:pt idx="3">
                  <c:v>Certification</c:v>
                </c:pt>
                <c:pt idx="4">
                  <c:v>Special Assignment</c:v>
                </c:pt>
                <c:pt idx="5">
                  <c:v>Volunteer Service</c:v>
                </c:pt>
                <c:pt idx="6">
                  <c:v>Other</c:v>
                </c:pt>
              </c:strCache>
            </c:strRef>
          </c:cat>
          <c:val>
            <c:numRef>
              <c:f>'Analytics Data'!$B$2:$B$8</c:f>
              <c:numCache>
                <c:formatCode>General</c:formatCode>
                <c:ptCount val="7"/>
                <c:pt idx="0">
                  <c:v>1</c:v>
                </c:pt>
                <c:pt idx="1">
                  <c:v>1</c:v>
                </c:pt>
                <c:pt idx="2">
                  <c:v>1</c:v>
                </c:pt>
                <c:pt idx="3">
                  <c:v>0</c:v>
                </c:pt>
                <c:pt idx="4">
                  <c:v>0</c:v>
                </c:pt>
                <c:pt idx="5">
                  <c:v>0</c:v>
                </c:pt>
                <c:pt idx="6">
                  <c:v>0</c:v>
                </c:pt>
              </c:numCache>
            </c:numRef>
          </c:val>
          <c:extLst>
            <c:ext xmlns:c16="http://schemas.microsoft.com/office/drawing/2014/chart" uri="{C3380CC4-5D6E-409C-BE32-E72D297353CC}">
              <c16:uniqueId val="{00000000-D046-4254-8ABD-A3A1D82B0DC0}"/>
            </c:ext>
          </c:extLst>
        </c:ser>
        <c:dLbls>
          <c:showLegendKey val="0"/>
          <c:showVal val="0"/>
          <c:showCatName val="0"/>
          <c:showSerName val="0"/>
          <c:showPercent val="0"/>
          <c:showBubbleSize val="0"/>
        </c:dLbls>
        <c:gapWidth val="182"/>
        <c:axId val="386145728"/>
        <c:axId val="399518384"/>
      </c:barChart>
      <c:catAx>
        <c:axId val="38614572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Record Type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9518384"/>
        <c:crosses val="autoZero"/>
        <c:auto val="1"/>
        <c:lblAlgn val="ctr"/>
        <c:lblOffset val="100"/>
        <c:noMultiLvlLbl val="0"/>
      </c:catAx>
      <c:valAx>
        <c:axId val="39951838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Records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6145728"/>
        <c:crosses val="autoZero"/>
        <c:crossBetween val="between"/>
      </c:valAx>
      <c:spPr>
        <a:noFill/>
        <a:ln>
          <a:noFill/>
        </a:ln>
        <a:effec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Career Path Mix</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tx>
            <c:strRef>
              <c:f>'Analytics Data'!$E$1</c:f>
              <c:strCache>
                <c:ptCount val="1"/>
                <c:pt idx="0">
                  <c:v>Count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E10-423D-92E4-1B123F2E9E8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E10-423D-92E4-1B123F2E9E8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E10-423D-92E4-1B123F2E9E8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E10-423D-92E4-1B123F2E9E8D}"/>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'Analytics Data'!$E$2:$E$5</c:f>
              <c:numCache>
                <c:formatCode>General</c:formatCode>
                <c:ptCount val="4"/>
                <c:pt idx="0">
                  <c:v>1</c:v>
                </c:pt>
                <c:pt idx="1">
                  <c:v>1</c:v>
                </c:pt>
                <c:pt idx="2">
                  <c:v>0</c:v>
                </c:pt>
                <c:pt idx="3">
                  <c:v>1</c:v>
                </c:pt>
              </c:numCache>
            </c:numRef>
          </c:val>
          <c:extLst>
            <c:ext xmlns:c16="http://schemas.microsoft.com/office/drawing/2014/chart" uri="{C3380CC4-5D6E-409C-BE32-E72D297353CC}">
              <c16:uniqueId val="{00000000-5DBE-4CEC-BE28-F2C145894FC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PII Review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'Analytics Data'!$H$1</c:f>
              <c:strCache>
                <c:ptCount val="1"/>
                <c:pt idx="0">
                  <c:v>Count</c:v>
                </c:pt>
              </c:strCache>
            </c:strRef>
          </c:tx>
          <c:spPr>
            <a:solidFill>
              <a:schemeClr val="accent1"/>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'Analytics Data'!$G$2:$G$4</c:f>
              <c:strCache>
                <c:ptCount val="3"/>
                <c:pt idx="0">
                  <c:v>Clear</c:v>
                </c:pt>
                <c:pt idx="1">
                  <c:v>Needs Review</c:v>
                </c:pt>
                <c:pt idx="2">
                  <c:v>Do Not Use</c:v>
                </c:pt>
              </c:strCache>
            </c:strRef>
          </c:cat>
          <c:val>
            <c:numRef>
              <c:f>'Analytics Data'!$H$2:$H$4</c:f>
              <c:numCache>
                <c:formatCode>General</c:formatCode>
                <c:ptCount val="3"/>
                <c:pt idx="0">
                  <c:v>3</c:v>
                </c:pt>
                <c:pt idx="1">
                  <c:v>0</c:v>
                </c:pt>
                <c:pt idx="2">
                  <c:v>0</c:v>
                </c:pt>
              </c:numCache>
            </c:numRef>
          </c:val>
          <c:extLst>
            <c:ext xmlns:c16="http://schemas.microsoft.com/office/drawing/2014/chart" uri="{C3380CC4-5D6E-409C-BE32-E72D297353CC}">
              <c16:uniqueId val="{00000000-1076-49A4-AD10-FCD1C9939CDD}"/>
            </c:ext>
          </c:extLst>
        </c:ser>
        <c:dLbls>
          <c:showLegendKey val="0"/>
          <c:showVal val="0"/>
          <c:showCatName val="0"/>
          <c:showSerName val="0"/>
          <c:showPercent val="0"/>
          <c:showBubbleSize val="0"/>
        </c:dLbls>
        <c:gapWidth val="219"/>
        <c:overlap val="-27"/>
        <c:axId val="386082160"/>
        <c:axId val="399528464"/>
      </c:barChart>
      <c:catAx>
        <c:axId val="3860821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Review Status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9528464"/>
        <c:crosses val="autoZero"/>
        <c:auto val="1"/>
        <c:lblAlgn val="ctr"/>
        <c:lblOffset val="100"/>
        <c:noMultiLvlLbl val="0"/>
      </c:catAx>
      <c:valAx>
        <c:axId val="3995284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Records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6082160"/>
        <c:crosses val="autoZero"/>
        <c:crossBetween val="between"/>
      </c:valAx>
      <c:spPr>
        <a:noFill/>
        <a:ln>
          <a:noFill/>
        </a:ln>
        <a:effec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Included for Output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tx>
            <c:strRef>
              <c:f>'Analytics Data'!$K$1</c:f>
              <c:strCache>
                <c:ptCount val="1"/>
                <c:pt idx="0">
                  <c:v>Count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D05-4871-A36F-684EE4745C2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D05-4871-A36F-684EE4745C2B}"/>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'Analytics Data'!$K$2:$K$3</c:f>
              <c:numCache>
                <c:formatCode>General</c:formatCode>
                <c:ptCount val="2"/>
                <c:pt idx="0">
                  <c:v>2</c:v>
                </c:pt>
                <c:pt idx="1">
                  <c:v>1</c:v>
                </c:pt>
              </c:numCache>
            </c:numRef>
          </c:val>
          <c:extLst>
            <c:ext xmlns:c16="http://schemas.microsoft.com/office/drawing/2014/chart" uri="{C3380CC4-5D6E-409C-BE32-E72D297353CC}">
              <c16:uniqueId val="{00000000-F46A-4FC6-AF27-4A3227E4A9A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Records by Service Branch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'Analytics Data'!$S$1</c:f>
              <c:strCache>
                <c:ptCount val="1"/>
                <c:pt idx="0">
                  <c:v>Count</c:v>
                </c:pt>
              </c:strCache>
            </c:strRef>
          </c:tx>
          <c:spPr>
            <a:solidFill>
              <a:schemeClr val="accent1"/>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'Analytics Data'!$R$2:$R$7</c:f>
              <c:strCache>
                <c:ptCount val="6"/>
                <c:pt idx="0">
                  <c:v>Army</c:v>
                </c:pt>
                <c:pt idx="1">
                  <c:v>Navy</c:v>
                </c:pt>
                <c:pt idx="2">
                  <c:v>Marine Corps</c:v>
                </c:pt>
                <c:pt idx="3">
                  <c:v>Air Force</c:v>
                </c:pt>
                <c:pt idx="4">
                  <c:v>Space Force</c:v>
                </c:pt>
                <c:pt idx="5">
                  <c:v>Coast Guard</c:v>
                </c:pt>
              </c:strCache>
            </c:strRef>
          </c:cat>
          <c:val>
            <c:numRef>
              <c:f>'Analytics Data'!$S$2:$S$7</c:f>
              <c:numCache>
                <c:formatCode>General</c:formatCode>
                <c:ptCount val="6"/>
                <c:pt idx="0">
                  <c:v>3</c:v>
                </c:pt>
                <c:pt idx="1">
                  <c:v>0</c:v>
                </c:pt>
                <c:pt idx="2">
                  <c:v>0</c:v>
                </c:pt>
                <c:pt idx="3">
                  <c:v>0</c:v>
                </c:pt>
                <c:pt idx="4">
                  <c:v>0</c:v>
                </c:pt>
                <c:pt idx="5">
                  <c:v>0</c:v>
                </c:pt>
              </c:numCache>
            </c:numRef>
          </c:val>
          <c:extLst>
            <c:ext xmlns:c16="http://schemas.microsoft.com/office/drawing/2014/chart" uri="{C3380CC4-5D6E-409C-BE32-E72D297353CC}">
              <c16:uniqueId val="{00000000-D38C-4020-8EAF-572CA3AEEBFA}"/>
            </c:ext>
          </c:extLst>
        </c:ser>
        <c:dLbls>
          <c:showLegendKey val="0"/>
          <c:showVal val="0"/>
          <c:showCatName val="0"/>
          <c:showSerName val="0"/>
          <c:showPercent val="0"/>
          <c:showBubbleSize val="0"/>
        </c:dLbls>
        <c:gapWidth val="219"/>
        <c:overlap val="-27"/>
        <c:axId val="645388432"/>
        <c:axId val="321385744"/>
      </c:barChart>
      <c:catAx>
        <c:axId val="6453884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Service Branch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1385744"/>
        <c:crosses val="autoZero"/>
        <c:auto val="1"/>
        <c:lblAlgn val="ctr"/>
        <c:lblOffset val="100"/>
        <c:noMultiLvlLbl val="0"/>
      </c:catAx>
      <c:valAx>
        <c:axId val="3213857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Records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5388432"/>
        <c:crosses val="autoZero"/>
        <c:crossBetween val="between"/>
      </c:valAx>
      <c:spPr>
        <a:noFill/>
        <a:ln>
          <a:noFill/>
        </a:ln>
        <a:effec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7</xdr:col>
      <xdr:colOff>12700</xdr:colOff>
      <xdr:row>0</xdr:row>
      <xdr:rowOff>63500</xdr:rowOff>
    </xdr:from>
    <xdr:to>
      <xdr:col>7</xdr:col>
      <xdr:colOff>317500</xdr:colOff>
      <xdr:row>0</xdr:row>
      <xdr:rowOff>368300</xdr:rowOff>
    </xdr:to>
    <xdr:sp macro="" textlink="">
      <xdr:nvSpPr>
        <xdr:cNvPr id="7" name="Title Graphic Ring">
          <a:extLst>
            <a:ext uri="{FF2B5EF4-FFF2-40B4-BE49-F238E27FC236}">
              <a16:creationId xmlns:a16="http://schemas.microsoft.com/office/drawing/2014/main" id="{7EB5E498-6B3F-4C70-B188-58DF12712FA2}"/>
            </a:ext>
          </a:extLst>
        </xdr:cNvPr>
        <xdr:cNvSpPr>
          <a:spLocks/>
        </xdr:cNvSpPr>
      </xdr:nvSpPr>
      <xdr:spPr>
        <a:xfrm>
          <a:off x="9861550" y="63500"/>
          <a:ext cx="304800" cy="304800"/>
        </a:xfrm>
        <a:prstGeom prst="ellipse">
          <a:avLst/>
        </a:prstGeom>
        <a:solidFill>
          <a:srgbClr val="17324D"/>
        </a:solidFill>
        <a:ln w="19050" cap="flat" cmpd="sng" algn="ctr">
          <a:solidFill>
            <a:srgbClr val="FFFFFF"/>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7</xdr:col>
      <xdr:colOff>101600</xdr:colOff>
      <xdr:row>0</xdr:row>
      <xdr:rowOff>114300</xdr:rowOff>
    </xdr:from>
    <xdr:to>
      <xdr:col>7</xdr:col>
      <xdr:colOff>228600</xdr:colOff>
      <xdr:row>0</xdr:row>
      <xdr:rowOff>317500</xdr:rowOff>
    </xdr:to>
    <xdr:sp macro="" textlink="">
      <xdr:nvSpPr>
        <xdr:cNvPr id="8" name="Title Graphic Needle">
          <a:extLst>
            <a:ext uri="{FF2B5EF4-FFF2-40B4-BE49-F238E27FC236}">
              <a16:creationId xmlns:a16="http://schemas.microsoft.com/office/drawing/2014/main" id="{AA30FEA1-5D8C-4731-BFAB-4419576E6A7A}"/>
            </a:ext>
          </a:extLst>
        </xdr:cNvPr>
        <xdr:cNvSpPr>
          <a:spLocks/>
        </xdr:cNvSpPr>
      </xdr:nvSpPr>
      <xdr:spPr>
        <a:xfrm>
          <a:off x="9950450" y="114300"/>
          <a:ext cx="127000" cy="203200"/>
        </a:xfrm>
        <a:prstGeom prst="diamond">
          <a:avLst/>
        </a:prstGeom>
        <a:solidFill>
          <a:srgbClr val="6ED0E0"/>
        </a:solidFill>
        <a:ln w="19050" cap="flat" cmpd="sng" algn="ctr">
          <a:solidFill>
            <a:srgbClr val="FFFFFF"/>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7</xdr:col>
      <xdr:colOff>139700</xdr:colOff>
      <xdr:row>0</xdr:row>
      <xdr:rowOff>190500</xdr:rowOff>
    </xdr:from>
    <xdr:to>
      <xdr:col>7</xdr:col>
      <xdr:colOff>190500</xdr:colOff>
      <xdr:row>0</xdr:row>
      <xdr:rowOff>241300</xdr:rowOff>
    </xdr:to>
    <xdr:sp macro="" textlink="">
      <xdr:nvSpPr>
        <xdr:cNvPr id="9" name="Title Graphic Center">
          <a:extLst>
            <a:ext uri="{FF2B5EF4-FFF2-40B4-BE49-F238E27FC236}">
              <a16:creationId xmlns:a16="http://schemas.microsoft.com/office/drawing/2014/main" id="{8F938B3B-F1AF-4A8B-8E74-568F41D658A4}"/>
            </a:ext>
          </a:extLst>
        </xdr:cNvPr>
        <xdr:cNvSpPr>
          <a:spLocks/>
        </xdr:cNvSpPr>
      </xdr:nvSpPr>
      <xdr:spPr>
        <a:xfrm>
          <a:off x="9988550" y="190500"/>
          <a:ext cx="50800" cy="50800"/>
        </a:xfrm>
        <a:prstGeom prst="ellipse">
          <a:avLst/>
        </a:prstGeom>
        <a:solidFill>
          <a:srgbClr val="FFFFFF"/>
        </a:solidFill>
        <a:ln w="19050" cap="flat" cmpd="sng" algn="ctr">
          <a:solidFill>
            <a:srgbClr val="FFFFFF"/>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11</xdr:row>
      <xdr:rowOff>0</xdr:rowOff>
    </xdr:from>
    <xdr:to>
      <xdr:col>6</xdr:col>
      <xdr:colOff>0</xdr:colOff>
      <xdr:row>27</xdr:row>
      <xdr:rowOff>0</xdr:rowOff>
    </xdr:to>
    <xdr:graphicFrame macro="">
      <xdr:nvGraphicFramePr>
        <xdr:cNvPr id="4" name="Records by Type">
          <a:extLst>
            <a:ext uri="{FF2B5EF4-FFF2-40B4-BE49-F238E27FC236}">
              <a16:creationId xmlns:a16="http://schemas.microsoft.com/office/drawing/2014/main" id="{1A2FF902-5D9A-3D54-9EF4-A712F94ACB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11</xdr:row>
      <xdr:rowOff>0</xdr:rowOff>
    </xdr:from>
    <xdr:to>
      <xdr:col>13</xdr:col>
      <xdr:colOff>0</xdr:colOff>
      <xdr:row>27</xdr:row>
      <xdr:rowOff>0</xdr:rowOff>
    </xdr:to>
    <xdr:graphicFrame macro="">
      <xdr:nvGraphicFramePr>
        <xdr:cNvPr id="5" name="Career Path Mix">
          <a:extLst>
            <a:ext uri="{FF2B5EF4-FFF2-40B4-BE49-F238E27FC236}">
              <a16:creationId xmlns:a16="http://schemas.microsoft.com/office/drawing/2014/main" id="{2E1D04FA-9FC4-3728-292A-E89919F5DE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29</xdr:row>
      <xdr:rowOff>0</xdr:rowOff>
    </xdr:from>
    <xdr:to>
      <xdr:col>6</xdr:col>
      <xdr:colOff>0</xdr:colOff>
      <xdr:row>45</xdr:row>
      <xdr:rowOff>0</xdr:rowOff>
    </xdr:to>
    <xdr:graphicFrame macro="">
      <xdr:nvGraphicFramePr>
        <xdr:cNvPr id="6" name="PII Review Status">
          <a:extLst>
            <a:ext uri="{FF2B5EF4-FFF2-40B4-BE49-F238E27FC236}">
              <a16:creationId xmlns:a16="http://schemas.microsoft.com/office/drawing/2014/main" id="{EBC64D8C-486E-CADF-7B20-D91A437FEC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0</xdr:colOff>
      <xdr:row>29</xdr:row>
      <xdr:rowOff>0</xdr:rowOff>
    </xdr:from>
    <xdr:to>
      <xdr:col>13</xdr:col>
      <xdr:colOff>0</xdr:colOff>
      <xdr:row>45</xdr:row>
      <xdr:rowOff>0</xdr:rowOff>
    </xdr:to>
    <xdr:graphicFrame macro="">
      <xdr:nvGraphicFramePr>
        <xdr:cNvPr id="7" name="Included for Output">
          <a:extLst>
            <a:ext uri="{FF2B5EF4-FFF2-40B4-BE49-F238E27FC236}">
              <a16:creationId xmlns:a16="http://schemas.microsoft.com/office/drawing/2014/main" id="{804F44FB-9607-B7AA-2C61-4B01019C8B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47</xdr:row>
      <xdr:rowOff>0</xdr:rowOff>
    </xdr:from>
    <xdr:to>
      <xdr:col>13</xdr:col>
      <xdr:colOff>0</xdr:colOff>
      <xdr:row>63</xdr:row>
      <xdr:rowOff>0</xdr:rowOff>
    </xdr:to>
    <xdr:graphicFrame macro="">
      <xdr:nvGraphicFramePr>
        <xdr:cNvPr id="16" name="Records by Service Branch">
          <a:extLst>
            <a:ext uri="{FF2B5EF4-FFF2-40B4-BE49-F238E27FC236}">
              <a16:creationId xmlns:a16="http://schemas.microsoft.com/office/drawing/2014/main" id="{60AD8162-7A08-77FE-C34C-46FE881260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301625</xdr:colOff>
      <xdr:row>0</xdr:row>
      <xdr:rowOff>88900</xdr:rowOff>
    </xdr:from>
    <xdr:to>
      <xdr:col>12</xdr:col>
      <xdr:colOff>327025</xdr:colOff>
      <xdr:row>0</xdr:row>
      <xdr:rowOff>317500</xdr:rowOff>
    </xdr:to>
    <xdr:sp macro="" textlink="">
      <xdr:nvSpPr>
        <xdr:cNvPr id="17" name="Title Graphic AxisV">
          <a:extLst>
            <a:ext uri="{FF2B5EF4-FFF2-40B4-BE49-F238E27FC236}">
              <a16:creationId xmlns:a16="http://schemas.microsoft.com/office/drawing/2014/main" id="{23644A92-99EE-4814-B5FF-3B3577572C6D}"/>
            </a:ext>
          </a:extLst>
        </xdr:cNvPr>
        <xdr:cNvSpPr>
          <a:spLocks/>
        </xdr:cNvSpPr>
      </xdr:nvSpPr>
      <xdr:spPr>
        <a:xfrm>
          <a:off x="10302875" y="88900"/>
          <a:ext cx="25400" cy="228600"/>
        </a:xfrm>
        <a:prstGeom prst="rect">
          <a:avLst/>
        </a:prstGeom>
        <a:solidFill>
          <a:srgbClr val="FFFFFF"/>
        </a:solidFill>
        <a:ln w="19050" cap="flat" cmpd="sng" algn="ctr">
          <a:solidFill>
            <a:srgbClr val="FFFFFF"/>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12</xdr:col>
      <xdr:colOff>301625</xdr:colOff>
      <xdr:row>0</xdr:row>
      <xdr:rowOff>292100</xdr:rowOff>
    </xdr:from>
    <xdr:to>
      <xdr:col>12</xdr:col>
      <xdr:colOff>619125</xdr:colOff>
      <xdr:row>0</xdr:row>
      <xdr:rowOff>317500</xdr:rowOff>
    </xdr:to>
    <xdr:sp macro="" textlink="">
      <xdr:nvSpPr>
        <xdr:cNvPr id="18" name="Title Graphic AxisH">
          <a:extLst>
            <a:ext uri="{FF2B5EF4-FFF2-40B4-BE49-F238E27FC236}">
              <a16:creationId xmlns:a16="http://schemas.microsoft.com/office/drawing/2014/main" id="{488B7D4F-3D58-45AE-BD3C-2A24BE17473B}"/>
            </a:ext>
          </a:extLst>
        </xdr:cNvPr>
        <xdr:cNvSpPr>
          <a:spLocks/>
        </xdr:cNvSpPr>
      </xdr:nvSpPr>
      <xdr:spPr>
        <a:xfrm>
          <a:off x="10302875" y="292100"/>
          <a:ext cx="317500" cy="25400"/>
        </a:xfrm>
        <a:prstGeom prst="rect">
          <a:avLst/>
        </a:prstGeom>
        <a:solidFill>
          <a:srgbClr val="FFFFFF"/>
        </a:solidFill>
        <a:ln w="19050" cap="flat" cmpd="sng" algn="ctr">
          <a:solidFill>
            <a:srgbClr val="FFFFFF"/>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12</xdr:col>
      <xdr:colOff>365125</xdr:colOff>
      <xdr:row>0</xdr:row>
      <xdr:rowOff>215900</xdr:rowOff>
    </xdr:from>
    <xdr:to>
      <xdr:col>12</xdr:col>
      <xdr:colOff>415925</xdr:colOff>
      <xdr:row>0</xdr:row>
      <xdr:rowOff>292100</xdr:rowOff>
    </xdr:to>
    <xdr:sp macro="" textlink="">
      <xdr:nvSpPr>
        <xdr:cNvPr id="19" name="Title Graphic Bar1">
          <a:extLst>
            <a:ext uri="{FF2B5EF4-FFF2-40B4-BE49-F238E27FC236}">
              <a16:creationId xmlns:a16="http://schemas.microsoft.com/office/drawing/2014/main" id="{5C4E7155-2325-4CB4-965E-92CBB094D054}"/>
            </a:ext>
          </a:extLst>
        </xdr:cNvPr>
        <xdr:cNvSpPr>
          <a:spLocks/>
        </xdr:cNvSpPr>
      </xdr:nvSpPr>
      <xdr:spPr>
        <a:xfrm>
          <a:off x="10366375" y="215900"/>
          <a:ext cx="50800" cy="76200"/>
        </a:xfrm>
        <a:prstGeom prst="rect">
          <a:avLst/>
        </a:prstGeom>
        <a:solidFill>
          <a:srgbClr val="6ED0E0"/>
        </a:solidFill>
        <a:ln w="19050" cap="flat" cmpd="sng" algn="ctr">
          <a:solidFill>
            <a:srgbClr val="6ED0E0"/>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12</xdr:col>
      <xdr:colOff>454025</xdr:colOff>
      <xdr:row>0</xdr:row>
      <xdr:rowOff>152400</xdr:rowOff>
    </xdr:from>
    <xdr:to>
      <xdr:col>12</xdr:col>
      <xdr:colOff>504825</xdr:colOff>
      <xdr:row>0</xdr:row>
      <xdr:rowOff>292100</xdr:rowOff>
    </xdr:to>
    <xdr:sp macro="" textlink="">
      <xdr:nvSpPr>
        <xdr:cNvPr id="20" name="Title Graphic Bar2">
          <a:extLst>
            <a:ext uri="{FF2B5EF4-FFF2-40B4-BE49-F238E27FC236}">
              <a16:creationId xmlns:a16="http://schemas.microsoft.com/office/drawing/2014/main" id="{F59CAA3F-44C9-4B43-A94A-F1BAEB0940B6}"/>
            </a:ext>
          </a:extLst>
        </xdr:cNvPr>
        <xdr:cNvSpPr>
          <a:spLocks/>
        </xdr:cNvSpPr>
      </xdr:nvSpPr>
      <xdr:spPr>
        <a:xfrm>
          <a:off x="10455275" y="152400"/>
          <a:ext cx="50800" cy="139700"/>
        </a:xfrm>
        <a:prstGeom prst="rect">
          <a:avLst/>
        </a:prstGeom>
        <a:solidFill>
          <a:srgbClr val="FFFFFF"/>
        </a:solidFill>
        <a:ln w="19050" cap="flat" cmpd="sng" algn="ctr">
          <a:solidFill>
            <a:srgbClr val="FFFFFF"/>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12</xdr:col>
      <xdr:colOff>542925</xdr:colOff>
      <xdr:row>0</xdr:row>
      <xdr:rowOff>101600</xdr:rowOff>
    </xdr:from>
    <xdr:to>
      <xdr:col>12</xdr:col>
      <xdr:colOff>593725</xdr:colOff>
      <xdr:row>0</xdr:row>
      <xdr:rowOff>292100</xdr:rowOff>
    </xdr:to>
    <xdr:sp macro="" textlink="">
      <xdr:nvSpPr>
        <xdr:cNvPr id="21" name="Title Graphic Bar3">
          <a:extLst>
            <a:ext uri="{FF2B5EF4-FFF2-40B4-BE49-F238E27FC236}">
              <a16:creationId xmlns:a16="http://schemas.microsoft.com/office/drawing/2014/main" id="{8CEB0E30-9C71-4FC8-874C-805540F17216}"/>
            </a:ext>
          </a:extLst>
        </xdr:cNvPr>
        <xdr:cNvSpPr>
          <a:spLocks/>
        </xdr:cNvSpPr>
      </xdr:nvSpPr>
      <xdr:spPr>
        <a:xfrm>
          <a:off x="10544175" y="101600"/>
          <a:ext cx="50800" cy="190500"/>
        </a:xfrm>
        <a:prstGeom prst="rect">
          <a:avLst/>
        </a:prstGeom>
        <a:solidFill>
          <a:srgbClr val="6ED0E0"/>
        </a:solidFill>
        <a:ln w="19050" cap="flat" cmpd="sng" algn="ctr">
          <a:solidFill>
            <a:srgbClr val="6ED0E0"/>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7</xdr:col>
      <xdr:colOff>596900</xdr:colOff>
      <xdr:row>0</xdr:row>
      <xdr:rowOff>63500</xdr:rowOff>
    </xdr:from>
    <xdr:to>
      <xdr:col>7</xdr:col>
      <xdr:colOff>876300</xdr:colOff>
      <xdr:row>0</xdr:row>
      <xdr:rowOff>368300</xdr:rowOff>
    </xdr:to>
    <xdr:sp macro="" textlink="">
      <xdr:nvSpPr>
        <xdr:cNvPr id="9" name="Title Graphic Page">
          <a:extLst>
            <a:ext uri="{FF2B5EF4-FFF2-40B4-BE49-F238E27FC236}">
              <a16:creationId xmlns:a16="http://schemas.microsoft.com/office/drawing/2014/main" id="{389D783D-0027-4A30-AD7D-BB19AB721A7F}"/>
            </a:ext>
          </a:extLst>
        </xdr:cNvPr>
        <xdr:cNvSpPr>
          <a:spLocks/>
        </xdr:cNvSpPr>
      </xdr:nvSpPr>
      <xdr:spPr>
        <a:xfrm>
          <a:off x="9617075" y="63500"/>
          <a:ext cx="279400" cy="304800"/>
        </a:xfrm>
        <a:prstGeom prst="rect">
          <a:avLst/>
        </a:prstGeom>
        <a:solidFill>
          <a:srgbClr val="FFFFFF"/>
        </a:solidFill>
        <a:ln w="19050" cap="flat" cmpd="sng" algn="ctr">
          <a:solidFill>
            <a:srgbClr val="FFFFFF"/>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7</xdr:col>
      <xdr:colOff>647700</xdr:colOff>
      <xdr:row>0</xdr:row>
      <xdr:rowOff>127000</xdr:rowOff>
    </xdr:from>
    <xdr:to>
      <xdr:col>7</xdr:col>
      <xdr:colOff>825500</xdr:colOff>
      <xdr:row>0</xdr:row>
      <xdr:rowOff>152400</xdr:rowOff>
    </xdr:to>
    <xdr:sp macro="" textlink="">
      <xdr:nvSpPr>
        <xdr:cNvPr id="10" name="Title Graphic Field1">
          <a:extLst>
            <a:ext uri="{FF2B5EF4-FFF2-40B4-BE49-F238E27FC236}">
              <a16:creationId xmlns:a16="http://schemas.microsoft.com/office/drawing/2014/main" id="{FE186453-56E2-45A5-9C7E-EAC9572438FF}"/>
            </a:ext>
          </a:extLst>
        </xdr:cNvPr>
        <xdr:cNvSpPr>
          <a:spLocks/>
        </xdr:cNvSpPr>
      </xdr:nvSpPr>
      <xdr:spPr>
        <a:xfrm>
          <a:off x="9667875" y="127000"/>
          <a:ext cx="177800" cy="25400"/>
        </a:xfrm>
        <a:prstGeom prst="rect">
          <a:avLst/>
        </a:prstGeom>
        <a:solidFill>
          <a:srgbClr val="6ED0E0"/>
        </a:solidFill>
        <a:ln w="19050" cap="flat" cmpd="sng" algn="ctr">
          <a:solidFill>
            <a:srgbClr val="6ED0E0"/>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7</xdr:col>
      <xdr:colOff>647700</xdr:colOff>
      <xdr:row>0</xdr:row>
      <xdr:rowOff>190500</xdr:rowOff>
    </xdr:from>
    <xdr:to>
      <xdr:col>7</xdr:col>
      <xdr:colOff>825500</xdr:colOff>
      <xdr:row>0</xdr:row>
      <xdr:rowOff>215900</xdr:rowOff>
    </xdr:to>
    <xdr:sp macro="" textlink="">
      <xdr:nvSpPr>
        <xdr:cNvPr id="11" name="Title Graphic Field2">
          <a:extLst>
            <a:ext uri="{FF2B5EF4-FFF2-40B4-BE49-F238E27FC236}">
              <a16:creationId xmlns:a16="http://schemas.microsoft.com/office/drawing/2014/main" id="{6951E30C-79A4-4BCF-B206-74764FD6A9E3}"/>
            </a:ext>
          </a:extLst>
        </xdr:cNvPr>
        <xdr:cNvSpPr>
          <a:spLocks/>
        </xdr:cNvSpPr>
      </xdr:nvSpPr>
      <xdr:spPr>
        <a:xfrm>
          <a:off x="9667875" y="190500"/>
          <a:ext cx="177800" cy="25400"/>
        </a:xfrm>
        <a:prstGeom prst="rect">
          <a:avLst/>
        </a:prstGeom>
        <a:solidFill>
          <a:srgbClr val="17324D"/>
        </a:solidFill>
        <a:ln w="19050" cap="flat" cmpd="sng" algn="ctr">
          <a:solidFill>
            <a:srgbClr val="17324D"/>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7</xdr:col>
      <xdr:colOff>647700</xdr:colOff>
      <xdr:row>0</xdr:row>
      <xdr:rowOff>254000</xdr:rowOff>
    </xdr:from>
    <xdr:to>
      <xdr:col>7</xdr:col>
      <xdr:colOff>762000</xdr:colOff>
      <xdr:row>0</xdr:row>
      <xdr:rowOff>279400</xdr:rowOff>
    </xdr:to>
    <xdr:sp macro="" textlink="">
      <xdr:nvSpPr>
        <xdr:cNvPr id="12" name="Title Graphic Field3">
          <a:extLst>
            <a:ext uri="{FF2B5EF4-FFF2-40B4-BE49-F238E27FC236}">
              <a16:creationId xmlns:a16="http://schemas.microsoft.com/office/drawing/2014/main" id="{204CB4AC-5EB9-4E33-AAFF-18562C6BD488}"/>
            </a:ext>
          </a:extLst>
        </xdr:cNvPr>
        <xdr:cNvSpPr>
          <a:spLocks/>
        </xdr:cNvSpPr>
      </xdr:nvSpPr>
      <xdr:spPr>
        <a:xfrm>
          <a:off x="9667875" y="254000"/>
          <a:ext cx="114300" cy="25400"/>
        </a:xfrm>
        <a:prstGeom prst="rect">
          <a:avLst/>
        </a:prstGeom>
        <a:solidFill>
          <a:srgbClr val="17324D"/>
        </a:solidFill>
        <a:ln w="19050" cap="flat" cmpd="sng" algn="ctr">
          <a:solidFill>
            <a:srgbClr val="17324D"/>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7</xdr:col>
      <xdr:colOff>787400</xdr:colOff>
      <xdr:row>0</xdr:row>
      <xdr:rowOff>241300</xdr:rowOff>
    </xdr:from>
    <xdr:to>
      <xdr:col>7</xdr:col>
      <xdr:colOff>838200</xdr:colOff>
      <xdr:row>0</xdr:row>
      <xdr:rowOff>292100</xdr:rowOff>
    </xdr:to>
    <xdr:sp macro="" textlink="">
      <xdr:nvSpPr>
        <xdr:cNvPr id="13" name="Title Graphic Check">
          <a:extLst>
            <a:ext uri="{FF2B5EF4-FFF2-40B4-BE49-F238E27FC236}">
              <a16:creationId xmlns:a16="http://schemas.microsoft.com/office/drawing/2014/main" id="{264F5E71-CC12-4E61-B3FD-E5BE842E1FFD}"/>
            </a:ext>
          </a:extLst>
        </xdr:cNvPr>
        <xdr:cNvSpPr>
          <a:spLocks/>
        </xdr:cNvSpPr>
      </xdr:nvSpPr>
      <xdr:spPr>
        <a:xfrm>
          <a:off x="9807575" y="241300"/>
          <a:ext cx="50800" cy="50800"/>
        </a:xfrm>
        <a:prstGeom prst="rect">
          <a:avLst/>
        </a:prstGeom>
        <a:solidFill>
          <a:srgbClr val="6ED0E0"/>
        </a:solidFill>
        <a:ln w="19050" cap="flat" cmpd="sng" algn="ctr">
          <a:solidFill>
            <a:srgbClr val="6ED0E0"/>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7</xdr:col>
      <xdr:colOff>254000</xdr:colOff>
      <xdr:row>0</xdr:row>
      <xdr:rowOff>114300</xdr:rowOff>
    </xdr:from>
    <xdr:to>
      <xdr:col>7</xdr:col>
      <xdr:colOff>431800</xdr:colOff>
      <xdr:row>0</xdr:row>
      <xdr:rowOff>292100</xdr:rowOff>
    </xdr:to>
    <xdr:sp macro="" textlink="">
      <xdr:nvSpPr>
        <xdr:cNvPr id="8" name="Title Graphic Core">
          <a:extLst>
            <a:ext uri="{FF2B5EF4-FFF2-40B4-BE49-F238E27FC236}">
              <a16:creationId xmlns:a16="http://schemas.microsoft.com/office/drawing/2014/main" id="{301EF48E-F870-4400-B97C-82EAA213BE04}"/>
            </a:ext>
          </a:extLst>
        </xdr:cNvPr>
        <xdr:cNvSpPr>
          <a:spLocks/>
        </xdr:cNvSpPr>
      </xdr:nvSpPr>
      <xdr:spPr>
        <a:xfrm>
          <a:off x="9140825" y="114300"/>
          <a:ext cx="177800" cy="177800"/>
        </a:xfrm>
        <a:prstGeom prst="diamond">
          <a:avLst/>
        </a:prstGeom>
        <a:solidFill>
          <a:srgbClr val="FFFFFF"/>
        </a:solidFill>
        <a:ln w="19050" cap="flat" cmpd="sng" algn="ctr">
          <a:solidFill>
            <a:srgbClr val="FFFFFF"/>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7</xdr:col>
      <xdr:colOff>177800</xdr:colOff>
      <xdr:row>0</xdr:row>
      <xdr:rowOff>76200</xdr:rowOff>
    </xdr:from>
    <xdr:to>
      <xdr:col>7</xdr:col>
      <xdr:colOff>241300</xdr:colOff>
      <xdr:row>0</xdr:row>
      <xdr:rowOff>139700</xdr:rowOff>
    </xdr:to>
    <xdr:sp macro="" textlink="">
      <xdr:nvSpPr>
        <xdr:cNvPr id="9" name="Title Graphic Small1">
          <a:extLst>
            <a:ext uri="{FF2B5EF4-FFF2-40B4-BE49-F238E27FC236}">
              <a16:creationId xmlns:a16="http://schemas.microsoft.com/office/drawing/2014/main" id="{D9C4936D-71D5-4166-9597-678FFBBE1927}"/>
            </a:ext>
          </a:extLst>
        </xdr:cNvPr>
        <xdr:cNvSpPr>
          <a:spLocks/>
        </xdr:cNvSpPr>
      </xdr:nvSpPr>
      <xdr:spPr>
        <a:xfrm>
          <a:off x="9064625" y="76200"/>
          <a:ext cx="63500" cy="63500"/>
        </a:xfrm>
        <a:prstGeom prst="diamond">
          <a:avLst/>
        </a:prstGeom>
        <a:solidFill>
          <a:srgbClr val="6ED0E0"/>
        </a:solidFill>
        <a:ln w="19050" cap="flat" cmpd="sng" algn="ctr">
          <a:solidFill>
            <a:srgbClr val="6ED0E0"/>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7</xdr:col>
      <xdr:colOff>457200</xdr:colOff>
      <xdr:row>0</xdr:row>
      <xdr:rowOff>76200</xdr:rowOff>
    </xdr:from>
    <xdr:to>
      <xdr:col>7</xdr:col>
      <xdr:colOff>520700</xdr:colOff>
      <xdr:row>0</xdr:row>
      <xdr:rowOff>139700</xdr:rowOff>
    </xdr:to>
    <xdr:sp macro="" textlink="">
      <xdr:nvSpPr>
        <xdr:cNvPr id="10" name="Title Graphic Small2">
          <a:extLst>
            <a:ext uri="{FF2B5EF4-FFF2-40B4-BE49-F238E27FC236}">
              <a16:creationId xmlns:a16="http://schemas.microsoft.com/office/drawing/2014/main" id="{D74A9D0A-EDC6-4C87-82F9-980FC43975EE}"/>
            </a:ext>
          </a:extLst>
        </xdr:cNvPr>
        <xdr:cNvSpPr>
          <a:spLocks/>
        </xdr:cNvSpPr>
      </xdr:nvSpPr>
      <xdr:spPr>
        <a:xfrm>
          <a:off x="9344025" y="76200"/>
          <a:ext cx="63500" cy="63500"/>
        </a:xfrm>
        <a:prstGeom prst="diamond">
          <a:avLst/>
        </a:prstGeom>
        <a:solidFill>
          <a:srgbClr val="6ED0E0"/>
        </a:solidFill>
        <a:ln w="19050" cap="flat" cmpd="sng" algn="ctr">
          <a:solidFill>
            <a:srgbClr val="6ED0E0"/>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7</xdr:col>
      <xdr:colOff>457200</xdr:colOff>
      <xdr:row>0</xdr:row>
      <xdr:rowOff>292100</xdr:rowOff>
    </xdr:from>
    <xdr:to>
      <xdr:col>7</xdr:col>
      <xdr:colOff>508000</xdr:colOff>
      <xdr:row>0</xdr:row>
      <xdr:rowOff>342900</xdr:rowOff>
    </xdr:to>
    <xdr:sp macro="" textlink="">
      <xdr:nvSpPr>
        <xdr:cNvPr id="11" name="Title Graphic Small3">
          <a:extLst>
            <a:ext uri="{FF2B5EF4-FFF2-40B4-BE49-F238E27FC236}">
              <a16:creationId xmlns:a16="http://schemas.microsoft.com/office/drawing/2014/main" id="{FED1CA9E-F6F1-43A1-85D6-3E539E0A6872}"/>
            </a:ext>
          </a:extLst>
        </xdr:cNvPr>
        <xdr:cNvSpPr>
          <a:spLocks/>
        </xdr:cNvSpPr>
      </xdr:nvSpPr>
      <xdr:spPr>
        <a:xfrm>
          <a:off x="9344025" y="292100"/>
          <a:ext cx="50800" cy="50800"/>
        </a:xfrm>
        <a:prstGeom prst="diamond">
          <a:avLst/>
        </a:prstGeom>
        <a:solidFill>
          <a:srgbClr val="FFFFFF"/>
        </a:solidFill>
        <a:ln w="19050" cap="flat" cmpd="sng" algn="ctr">
          <a:solidFill>
            <a:srgbClr val="FFFFFF"/>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7</xdr:col>
      <xdr:colOff>558800</xdr:colOff>
      <xdr:row>0</xdr:row>
      <xdr:rowOff>63500</xdr:rowOff>
    </xdr:from>
    <xdr:to>
      <xdr:col>7</xdr:col>
      <xdr:colOff>901700</xdr:colOff>
      <xdr:row>0</xdr:row>
      <xdr:rowOff>368300</xdr:rowOff>
    </xdr:to>
    <xdr:sp macro="" textlink="">
      <xdr:nvSpPr>
        <xdr:cNvPr id="7" name="Title Graphic Triangle">
          <a:extLst>
            <a:ext uri="{FF2B5EF4-FFF2-40B4-BE49-F238E27FC236}">
              <a16:creationId xmlns:a16="http://schemas.microsoft.com/office/drawing/2014/main" id="{0A137360-0B0A-41D8-AEE4-03C887FE2106}"/>
            </a:ext>
          </a:extLst>
        </xdr:cNvPr>
        <xdr:cNvSpPr>
          <a:spLocks/>
        </xdr:cNvSpPr>
      </xdr:nvSpPr>
      <xdr:spPr>
        <a:xfrm>
          <a:off x="11160125" y="63500"/>
          <a:ext cx="342900" cy="304800"/>
        </a:xfrm>
        <a:prstGeom prst="triangle">
          <a:avLst/>
        </a:prstGeom>
        <a:solidFill>
          <a:srgbClr val="6ED0E0"/>
        </a:solidFill>
        <a:ln w="19050" cap="flat" cmpd="sng" algn="ctr">
          <a:solidFill>
            <a:srgbClr val="FFFFFF"/>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7</xdr:col>
      <xdr:colOff>711200</xdr:colOff>
      <xdr:row>0</xdr:row>
      <xdr:rowOff>139700</xdr:rowOff>
    </xdr:from>
    <xdr:to>
      <xdr:col>7</xdr:col>
      <xdr:colOff>749300</xdr:colOff>
      <xdr:row>0</xdr:row>
      <xdr:rowOff>254000</xdr:rowOff>
    </xdr:to>
    <xdr:sp macro="" textlink="">
      <xdr:nvSpPr>
        <xdr:cNvPr id="8" name="Title Graphic Mark">
          <a:extLst>
            <a:ext uri="{FF2B5EF4-FFF2-40B4-BE49-F238E27FC236}">
              <a16:creationId xmlns:a16="http://schemas.microsoft.com/office/drawing/2014/main" id="{76256A17-A3BB-4407-9447-6BDAB74C52FC}"/>
            </a:ext>
          </a:extLst>
        </xdr:cNvPr>
        <xdr:cNvSpPr>
          <a:spLocks/>
        </xdr:cNvSpPr>
      </xdr:nvSpPr>
      <xdr:spPr>
        <a:xfrm>
          <a:off x="11312525" y="139700"/>
          <a:ext cx="38100" cy="114300"/>
        </a:xfrm>
        <a:prstGeom prst="rect">
          <a:avLst/>
        </a:prstGeom>
        <a:solidFill>
          <a:srgbClr val="17324D"/>
        </a:solidFill>
        <a:ln w="19050" cap="flat" cmpd="sng" algn="ctr">
          <a:solidFill>
            <a:srgbClr val="17324D"/>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7</xdr:col>
      <xdr:colOff>711200</xdr:colOff>
      <xdr:row>0</xdr:row>
      <xdr:rowOff>292100</xdr:rowOff>
    </xdr:from>
    <xdr:to>
      <xdr:col>7</xdr:col>
      <xdr:colOff>749300</xdr:colOff>
      <xdr:row>0</xdr:row>
      <xdr:rowOff>330200</xdr:rowOff>
    </xdr:to>
    <xdr:sp macro="" textlink="">
      <xdr:nvSpPr>
        <xdr:cNvPr id="9" name="Title Graphic Dot">
          <a:extLst>
            <a:ext uri="{FF2B5EF4-FFF2-40B4-BE49-F238E27FC236}">
              <a16:creationId xmlns:a16="http://schemas.microsoft.com/office/drawing/2014/main" id="{6851A3BB-F7A6-4F62-B1AE-CE70B54B747E}"/>
            </a:ext>
          </a:extLst>
        </xdr:cNvPr>
        <xdr:cNvSpPr>
          <a:spLocks/>
        </xdr:cNvSpPr>
      </xdr:nvSpPr>
      <xdr:spPr>
        <a:xfrm>
          <a:off x="11312525" y="292100"/>
          <a:ext cx="38100" cy="38100"/>
        </a:xfrm>
        <a:prstGeom prst="ellipse">
          <a:avLst/>
        </a:prstGeom>
        <a:solidFill>
          <a:srgbClr val="17324D"/>
        </a:solidFill>
        <a:ln w="19050" cap="flat" cmpd="sng" algn="ctr">
          <a:solidFill>
            <a:srgbClr val="17324D"/>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wsDr>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708D543-F481-437F-8D45-0FC30031411C}" name="tblContents" displayName="tblContents" ref="A10:B32" totalsRowShown="0" headerRowDxfId="186" dataDxfId="184" headerRowBorderDxfId="185" tableBorderDxfId="183">
  <autoFilter ref="A10:B32" xr:uid="{C708D543-F481-437F-8D45-0FC30031411C}"/>
  <tableColumns count="2">
    <tableColumn id="1" xr3:uid="{4F19FE7E-5E7A-426D-843C-CB4BC372A0F5}" name="Sheet" dataDxfId="182"/>
    <tableColumn id="2" xr3:uid="{A2D8A701-D088-4221-B1C0-15AD4D83E54F}" name="Purpose" dataDxfId="181"/>
  </tableColumns>
  <tableStyleInfo name="TableStyleLight1"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97FB0855-E11B-489B-907C-EF4379C98C10}" name="tblAIAgentManifest" displayName="tblAIAgentManifest" ref="A1:J23" totalsRowShown="0" headerRowDxfId="180" dataDxfId="179">
  <autoFilter ref="A1:J23" xr:uid="{97FB0855-E11B-489B-907C-EF4379C98C10}"/>
  <tableColumns count="10">
    <tableColumn id="1" xr3:uid="{7B5360FF-51B9-4AA3-ABE7-9F53F03B4E50}" name="sheet_name" dataDxfId="178"/>
    <tableColumn id="2" xr3:uid="{A2BB2947-A63F-451A-B9D4-4FBBE64DB3EA}" name="sheet_type" dataDxfId="177"/>
    <tableColumn id="3" xr3:uid="{52695E12-4FCB-45B1-AF3D-DA4DD5DE3D43}" name="primary_table" dataDxfId="176"/>
    <tableColumn id="4" xr3:uid="{0DDF21DF-6EFB-41F9-91E8-034E72EE6CE5}" name="key_field" dataDxfId="175"/>
    <tableColumn id="5" xr3:uid="{AB5BC1C1-BBA6-4A8A-B660-D200324571E9}" name="purpose" dataDxfId="174"/>
    <tableColumn id="6" xr3:uid="{3974F980-0085-450F-9A07-28BD45D44776}" name="agent_use" dataDxfId="173"/>
    <tableColumn id="7" xr3:uid="{E6806A02-F40C-48F8-9D3B-358F851DD8E2}" name="ingestion_rule" dataDxfId="172"/>
    <tableColumn id="8" xr3:uid="{6301092D-7E90-48FF-B53D-616F944C8992}" name="privacy_classification" dataDxfId="171"/>
    <tableColumn id="9" xr3:uid="{08E90EAC-9A7B-4971-8582-B207A4918E89}" name="source_dependencies" dataDxfId="170"/>
    <tableColumn id="10" xr3:uid="{E6A8D2BB-2DDE-4622-B235-200EA6CDCF1C}" name="update_guidance" dataDxfId="169"/>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A24D5CC-569F-4EC4-A5E5-10F02FB85459}" name="tblRecords" displayName="tblRecords" ref="A1:P4" totalsRowShown="0" headerRowDxfId="168" dataDxfId="166" headerRowBorderDxfId="167" tableBorderDxfId="165">
  <autoFilter ref="A1:P4" xr:uid="{4A24D5CC-569F-4EC4-A5E5-10F02FB85459}"/>
  <tableColumns count="16">
    <tableColumn id="1" xr3:uid="{EFB06CB5-2F8B-4EF1-9A3F-FE53EBC51244}" name="record_id" dataDxfId="164"/>
    <tableColumn id="2" xr3:uid="{098FC3F3-0FB1-4B5D-8E3F-4B2C4E1E1BF7}" name="include_in_output" dataDxfId="163"/>
    <tableColumn id="3" xr3:uid="{8A5BA898-C47E-4F08-BA0E-091A44B5DA9D}" name="record_type" dataDxfId="162"/>
    <tableColumn id="4" xr3:uid="{C0A1160D-357A-46E4-9230-67893042F164}" name="date_period" dataDxfId="161"/>
    <tableColumn id="5" xr3:uid="{D07F2EE8-F6FD-4C83-BA0A-C7EC43EE1749}" name="source_type" dataDxfId="160"/>
    <tableColumn id="6" xr3:uid="{9A39AF1D-2CC7-45F6-954D-35A07D73D5B7}" name="military_evaluation_bullet" dataDxfId="159"/>
    <tableColumn id="7" xr3:uid="{CD1F17BB-7989-4AF2-B1FA-9309E751C5F9}" name="quantifiable_metrics" dataDxfId="158"/>
    <tableColumn id="8" xr3:uid="{26FB3544-28B1-417C-9F43-0D25BC53A4C9}" name="service_terms_acronyms" dataDxfId="157"/>
    <tableColumn id="9" xr3:uid="{6A931BF0-E6C1-42B5-8717-F437458C7C4E}" name="civilian_skills_translated" dataDxfId="156"/>
    <tableColumn id="10" xr3:uid="{1F5E6C64-263A-48D7-8D24-8921D163450B}" name="target_keywords" dataDxfId="155"/>
    <tableColumn id="11" xr3:uid="{A34DA68F-BB5F-42E1-8B95-C0A6B0B5A3B7}" name="pii_status" dataDxfId="154"/>
    <tableColumn id="12" xr3:uid="{DF0F65C3-CD34-4494-BE2F-A1F811918AC9}" name="notes" dataDxfId="153"/>
    <tableColumn id="13" xr3:uid="{1685FE52-D48A-4451-B265-289811AA8192}" name="career_path" dataDxfId="152"/>
    <tableColumn id="14" xr3:uid="{D69F5D56-0967-407F-946F-0EC5943CAA6E}" name="job_role_family" dataDxfId="151"/>
    <tableColumn id="15" xr3:uid="{76512190-3B7C-488B-AC32-271AE3E7BAA9}" name="job_url_reference" dataDxfId="150"/>
    <tableColumn id="16" xr3:uid="{F7FB255B-DD11-4DDA-B9FE-2500ED0759F8}" name="service_branch" dataDxfId="149"/>
  </tableColumns>
  <tableStyleInfo name="TableStyleMedium2"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F2B9A7E-8E4F-4CB7-AFE5-F5BC375310DD}" name="tblServiceTerms" displayName="tblServiceTerms" ref="A1:E31" totalsRowShown="0" headerRowDxfId="148" dataDxfId="146" headerRowBorderDxfId="147" tableBorderDxfId="145">
  <autoFilter ref="A1:E31" xr:uid="{2F2B9A7E-8E4F-4CB7-AFE5-F5BC375310DD}"/>
  <tableColumns count="5">
    <tableColumn id="1" xr3:uid="{1807098B-2ED0-4132-A15A-5CD7E58DEECE}" name="service_branch" dataDxfId="144"/>
    <tableColumn id="2" xr3:uid="{A36A954C-76E7-457C-A80F-6C7C289E2BFF}" name="term_acronym" dataDxfId="143"/>
    <tableColumn id="3" xr3:uid="{22423B87-2605-4A6A-9151-E194BC0C0F4B}" name="civilian_translation" dataDxfId="142"/>
    <tableColumn id="4" xr3:uid="{A2EDC32E-C415-4146-90D3-4CA51FC816C4}" name="category" dataDxfId="141"/>
    <tableColumn id="5" xr3:uid="{ED52E483-A6B0-4C71-B689-E22FED3E9B89}" name="usage_guidance" dataDxfId="140"/>
  </tableColumns>
  <tableStyleInfo name="TableStyleMedium2"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6F026E2A-9FC1-4C3B-BDEF-4E3D2EEC5682}" name="tblServiceEvaluations" displayName="tblServiceEvaluations" ref="F1:H21" totalsRowShown="0" headerRowDxfId="139" dataDxfId="137" headerRowBorderDxfId="138" tableBorderDxfId="136">
  <autoFilter ref="F1:H21" xr:uid="{6F026E2A-9FC1-4C3B-BDEF-4E3D2EEC5682}"/>
  <tableColumns count="3">
    <tableColumn id="1" xr3:uid="{1C01AFD7-D6B3-4E11-83B3-5370D4FAE20E}" name="service_branch" dataDxfId="135"/>
    <tableColumn id="2" xr3:uid="{E7A59253-7575-46C5-B4EF-D937F01B565A}" name="evaluation_record" dataDxfId="134"/>
    <tableColumn id="3" xr3:uid="{7225C7E5-437A-463D-9CD9-0D7A2BD20095}" name="purpose" dataDxfId="133"/>
  </tableColumns>
  <tableStyleInfo name="TableStyleMedium2"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E63F4F91-4AE3-4285-8C75-9994B45CA2B1}" name="tblMilitaryRecordMap" displayName="tblMilitaryRecordMap" ref="A1:J9" totalsRowShown="0" headerRowDxfId="132" dataDxfId="131">
  <autoFilter ref="A1:J9" xr:uid="{E63F4F91-4AE3-4285-8C75-9994B45CA2B1}"/>
  <tableColumns count="10">
    <tableColumn id="1" xr3:uid="{4CCE34FD-8470-432B-8E36-3A03FCD5AD0A}" name="mapping_id" dataDxfId="130"/>
    <tableColumn id="2" xr3:uid="{A6089D58-7E3E-4843-BAE6-DBC425457A41}" name="source_record_type" dataDxfId="129"/>
    <tableColumn id="3" xr3:uid="{A429F5D7-3EB1-427B-9967-40FE02BDFCF1}" name="service_branch" dataDxfId="128"/>
    <tableColumn id="4" xr3:uid="{A84A6E58-E45C-48AB-A2CF-D99F14B06340}" name="source_field_or_code" dataDxfId="127"/>
    <tableColumn id="5" xr3:uid="{1E125C32-D51A-4F2B-8FFE-7BA15330AC79}" name="canonical_use" dataDxfId="126"/>
    <tableColumn id="6" xr3:uid="{E306EE4F-68F5-4912-BB47-C9BD2BF1F246}" name="civilian_translation_method" dataDxfId="125"/>
    <tableColumn id="7" xr3:uid="{CF7E4FF4-200D-4B47-82A6-279FBBC291CD}" name="privacy_handling" dataDxfId="124"/>
    <tableColumn id="8" xr3:uid="{7808BE3F-2D39-4772-96D7-B57BA589E958}" name="source_reference" dataDxfId="123"/>
    <tableColumn id="9" xr3:uid="{700921CE-B8E8-489A-9DEC-C3AD832BAB5B}" name="source_url" dataDxfId="122"/>
    <tableColumn id="10" xr3:uid="{C8E05A09-212B-40AF-A0EC-B0F9CCAC772B}" name="notes" dataDxfId="121"/>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62451F11-716E-4082-AFBC-DB3F118B5C88}" name="tblCivilianLanguageMap" displayName="tblCivilianLanguageMap" ref="A1:J211" totalsRowShown="0" headerRowDxfId="120" dataDxfId="119">
  <autoFilter ref="A1:J211" xr:uid="{62451F11-716E-4082-AFBC-DB3F118B5C88}"/>
  <tableColumns count="10">
    <tableColumn id="1" xr3:uid="{DB818A4D-3FB1-4908-B6FE-2A106A288CDD}" name="service_branch" dataDxfId="118"/>
    <tableColumn id="2" xr3:uid="{2DFAB5FD-853A-4453-AD4D-7D71001C5B4F}" name="source_language" dataDxfId="117"/>
    <tableColumn id="3" xr3:uid="{0F317CCD-C341-4180-B8A6-188972E83B7B}" name="military_term" dataDxfId="116"/>
    <tableColumn id="4" xr3:uid="{8EC14DAD-3E61-4A42-9DFC-35B575E38D41}" name="civilian_wording" dataDxfId="115"/>
    <tableColumn id="5" xr3:uid="{BBE54A0E-D594-40FD-9E24-D8DDEE6C5B80}" name="target_context" dataDxfId="114"/>
    <tableColumn id="6" xr3:uid="{6CC26FFB-4700-4A09-B2C0-78BB740AB8AB}" name="target_persona" dataDxfId="113"/>
    <tableColumn id="7" xr3:uid="{B32CF2B0-1E20-4B2C-92E2-C13C2F96D4C2}" name="translation_rule" dataDxfId="112"/>
    <tableColumn id="8" xr3:uid="{6994BD11-436F-41C5-92B7-C14630003B82}" name="confidence_level" dataDxfId="111"/>
    <tableColumn id="9" xr3:uid="{00E42402-7CE6-4E2A-A28F-F44DB2DD0DC6}" name="source_reference" dataDxfId="110"/>
    <tableColumn id="10" xr3:uid="{B539CD2E-8C34-4EF8-9515-3A79E98977B1}" name="rationale" dataDxfId="109"/>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4DA83A7D-EDAF-4D2A-9B22-B8A83D153411}" name="tblSkillDictionary" displayName="tblSkillDictionary" ref="A1:H73" totalsRowShown="0" headerRowDxfId="108" dataDxfId="107">
  <autoFilter ref="A1:H73" xr:uid="{4DA83A7D-EDAF-4D2A-9B22-B8A83D153411}"/>
  <tableColumns count="8">
    <tableColumn id="1" xr3:uid="{552180FF-B80D-452E-A288-7537F46F1E88}" name="skill_id" dataDxfId="106"/>
    <tableColumn id="2" xr3:uid="{E8188291-E982-4B1C-B356-992FD5E4D42B}" name="skill_name" dataDxfId="105"/>
    <tableColumn id="3" xr3:uid="{3E2A3C27-D7EC-4604-B63C-67594C237CC1}" name="skill_category" dataDxfId="104"/>
    <tableColumn id="4" xr3:uid="{E8B40B9E-FEF8-40E6-9945-309664DC184F}" name="synonyms" dataDxfId="103"/>
    <tableColumn id="5" xr3:uid="{49434569-BEB7-4EA4-9C3F-F71F8F926676}" name="military_equivalents" dataDxfId="102"/>
    <tableColumn id="6" xr3:uid="{E4719273-91E5-43ED-AA9B-B533712DA1E8}" name="civilian_equivalents" dataDxfId="101"/>
    <tableColumn id="7" xr3:uid="{2BC0D34E-5DDF-40DE-9F31-8356367B5DB7}" name="source_reference" dataDxfId="100"/>
    <tableColumn id="8" xr3:uid="{A955E744-D5F5-46AB-9E50-2208424AD7D5}" name="notes" dataDxfId="99"/>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0348F27-05A8-4D51-B1CA-CFA1B403A012}" name="tblCareerSkills" displayName="tblCareerSkills" ref="A1:F25" totalsRowShown="0" headerRowDxfId="98" dataDxfId="97">
  <autoFilter ref="A1:F25" xr:uid="{B0348F27-05A8-4D51-B1CA-CFA1B403A012}"/>
  <tableColumns count="6">
    <tableColumn id="1" xr3:uid="{61EADAE5-9143-42DB-A0CA-E73CE27F10BE}" name="career_path" dataDxfId="96"/>
    <tableColumn id="2" xr3:uid="{4EA1E77A-9B97-4663-984D-88AAAABD1CC6}" name="skill_name" dataDxfId="95"/>
    <tableColumn id="3" xr3:uid="{7C997B28-9451-4887-95AC-8E9338B0428F}" name="keyword_variants" dataDxfId="94"/>
    <tableColumn id="4" xr3:uid="{CD9BF244-47D6-4F74-9DF0-CF49CDDAB00B}" name="role_family" dataDxfId="93"/>
    <tableColumn id="5" xr3:uid="{8683B65E-2184-4392-AE9D-5BC4746EE367}" name="priority" dataDxfId="92"/>
    <tableColumn id="6" xr3:uid="{8FB5A5BD-09CF-43A2-9A14-B9B8360143F5}" name="guidance" dataDxfId="91"/>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78871A0-2EBC-4323-891C-3E2772BD9236}" name="tblRoleArchitecture" displayName="tblRoleArchitecture" ref="A1:M8" totalsRowShown="0" headerRowDxfId="90" dataDxfId="89">
  <autoFilter ref="A1:M8" xr:uid="{D78871A0-2EBC-4323-891C-3E2772BD9236}"/>
  <tableColumns count="13">
    <tableColumn id="1" xr3:uid="{672A6BE9-739D-4AB4-9FF2-C8195005A126}" name="role_id" dataDxfId="88"/>
    <tableColumn id="2" xr3:uid="{322ED1CE-81F4-4A68-BAE5-5C3FB25EF2C5}" name="role_name" dataDxfId="87"/>
    <tableColumn id="3" xr3:uid="{1B300B1E-61D3-4262-99DD-FCA59F330A87}" name="onet_code" dataDxfId="86"/>
    <tableColumn id="4" xr3:uid="{1A91B9CD-4F3B-4ADF-B809-9B72827985E2}" name="role_category" dataDxfId="85"/>
    <tableColumn id="5" xr3:uid="{4C9C3BA1-52E5-4CCF-8A53-C6FD4CF12B1C}" name="job_description" dataDxfId="84"/>
    <tableColumn id="6" xr3:uid="{C959CE52-75C8-4630-9E39-967E69D94141}" name="required_skills" dataDxfId="83"/>
    <tableColumn id="7" xr3:uid="{ABACB211-C658-4B3D-BD39-F440EDFFC131}" name="required_qualifications" dataDxfId="82"/>
    <tableColumn id="8" xr3:uid="{FEAABACC-C51F-46E5-B16B-427D178A2C33}" name="ai_agent_function" dataDxfId="81"/>
    <tableColumn id="9" xr3:uid="{1DE75B34-9E81-440D-A1DF-DF50BA66FCDA}" name="logical_reasoning" dataDxfId="80"/>
    <tableColumn id="10" xr3:uid="{6A8C6AC1-A32C-4906-817D-054BD10D6DE0}" name="user_value_justification" dataDxfId="79"/>
    <tableColumn id="11" xr3:uid="{83BCD84C-0DA3-48CB-9B92-5CCB36D081C8}" name="system_value_justification" dataDxfId="78"/>
    <tableColumn id="12" xr3:uid="{BBB49213-BCFF-490D-AF17-CC8E501A55C2}" name="source_url" dataDxfId="77"/>
    <tableColumn id="13" xr3:uid="{47D7DFE1-76D8-40E9-8CC7-659C44B25E7A}" name="notes" dataDxfId="76"/>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D76317F6-6269-44FC-A644-A697906DC875}" name="tblPersonaRoutingMatrix" displayName="tblPersonaRoutingMatrix" ref="A1:I8" totalsRowShown="0" headerRowDxfId="75" dataDxfId="74">
  <autoFilter ref="A1:I8" xr:uid="{D76317F6-6269-44FC-A644-A697906DC875}"/>
  <tableColumns count="9">
    <tableColumn id="1" xr3:uid="{FDEB41C9-DEB9-40A9-B035-2C131737148D}" name="trigger_category" dataDxfId="73"/>
    <tableColumn id="2" xr3:uid="{24B2A45C-CB84-4C3F-801A-94BA35830273}" name="user_intent_keywords" dataDxfId="72"/>
    <tableColumn id="3" xr3:uid="{362117EB-752E-4BF4-A1D6-DBC9488D2FBD}" name="required_input_fields" dataDxfId="71"/>
    <tableColumn id="4" xr3:uid="{381536C2-399B-4ACC-BF56-DE155A148268}" name="routing_priority" dataDxfId="70"/>
    <tableColumn id="5" xr3:uid="{D09D87D1-F3C6-4CE6-90F3-C27F02EF5A14}" name="routed_persona" dataDxfId="69"/>
    <tableColumn id="6" xr3:uid="{E56F7040-70CD-4B00-BD03-34312136C64E}" name="logic_type" dataDxfId="68"/>
    <tableColumn id="7" xr3:uid="{BF404ECD-C8BF-4DC2-9911-AEC880AB3064}" name="safety_or_privacy_rule" dataDxfId="67"/>
    <tableColumn id="8" xr3:uid="{AFEA163F-42F3-42D4-A0DA-29EAA3DAED50}" name="fallback_persona" dataDxfId="66"/>
    <tableColumn id="9" xr3:uid="{332ACE18-5DED-4046-831F-992E356E256B}" name="output_format" dataDxfId="65"/>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6A17B26C-9419-4A71-B0AC-C35476D75A86}" name="tblFellowshipTracking" displayName="tblFellowshipTracking" ref="A1:T3" totalsRowShown="0" headerRowDxfId="64" dataDxfId="63">
  <autoFilter ref="A1:T3" xr:uid="{6A17B26C-9419-4A71-B0AC-C35476D75A86}"/>
  <tableColumns count="20">
    <tableColumn id="1" xr3:uid="{AF7E1C68-15C8-4B6C-A9B0-06D6766E4B70}" name="fellowship_id" dataDxfId="62"/>
    <tableColumn id="2" xr3:uid="{589B9F38-BEDE-4BA4-B381-7CE6538135C8}" name="fellowship_name" dataDxfId="61"/>
    <tableColumn id="3" xr3:uid="{F6D09766-D72A-48F7-943E-39DAE5D1E762}" name="provider_name" dataDxfId="60"/>
    <tableColumn id="4" xr3:uid="{8803B13D-280E-447C-B0B7-3978EE5541AC}" name="skillbridge_eligible" dataDxfId="59"/>
    <tableColumn id="5" xr3:uid="{BCDCA68C-997B-47EF-B3DD-C754FCA70E32}" name="cohort_start_date" dataDxfId="58"/>
    <tableColumn id="6" xr3:uid="{574E30AC-C361-4981-9E74-5EA1EF7B91AA}" name="cohort_end_date" dataDxfId="57"/>
    <tableColumn id="7" xr3:uid="{70155133-45E5-407F-BDC3-69542AC2A5DB}" name="application_deadline" dataDxfId="56"/>
    <tableColumn id="8" xr3:uid="{59DE7AA2-979E-446F-B6DF-E07E1BA8D589}" name="target_mos_codes" dataDxfId="55"/>
    <tableColumn id="9" xr3:uid="{B229DBAD-8D42-49A8-87B4-F18824BBEFA7}" name="target_skills" dataDxfId="54"/>
    <tableColumn id="10" xr3:uid="{2C667C1D-83DB-4500-8003-1BCAA9CB7730}" name="location_type" dataDxfId="53"/>
    <tableColumn id="11" xr3:uid="{DAFA2002-C1B1-41AC-A9F5-C2101352D2EB}" name="remote_available" dataDxfId="52"/>
    <tableColumn id="12" xr3:uid="{A9B7CDB4-F6CF-4957-A740-595D0A36993A}" name="eligibility_notes" dataDxfId="51"/>
    <tableColumn id="13" xr3:uid="{97210658-7843-4286-B64B-B62CC64C7A54}" name="source_url" dataDxfId="50"/>
    <tableColumn id="14" xr3:uid="{436DB8C5-20A7-4147-8316-6E23BF5BB502}" name="notes" dataDxfId="49"/>
    <tableColumn id="15" xr3:uid="{ED92031D-DFE8-497F-978B-BBCBC5E613A4}" name="eligibility_window_start" dataDxfId="48">
      <calculatedColumnFormula>IF($W$2="","",$W$2-180)</calculatedColumnFormula>
    </tableColumn>
    <tableColumn id="16" xr3:uid="{745E4FCE-7929-4848-950E-CFA32D0B9A9F}" name="days_from_window_start_to_cohort" dataDxfId="47">
      <calculatedColumnFormula>IF(OR(tblFellowshipTracking[[#This Row],[cohort_start_date]]="",tblFellowshipTracking[[#This Row],[eligibility_window_start]]=""),"",tblFellowshipTracking[[#This Row],[cohort_start_date]]-tblFellowshipTracking[[#This Row],[eligibility_window_start]])</calculatedColumnFormula>
    </tableColumn>
    <tableColumn id="17" xr3:uid="{400DA58E-9CEF-4372-B2CA-E0B39077C4CA}" name="cohort_starts_within_180_day_window" dataDxfId="46">
      <calculatedColumnFormula>IF($W$2="","Enter separation date",IF(tblFellowshipTracking[[#This Row],[cohort_start_date]]="","Missing cohort start",IF(AND(tblFellowshipTracking[[#This Row],[cohort_start_date]]&gt;=tblFellowshipTracking[[#This Row],[eligibility_window_start]],tblFellowshipTracking[[#This Row],[cohort_start_date]]&lt;=$W$2),"Yes","No")))</calculatedColumnFormula>
    </tableColumn>
    <tableColumn id="18" xr3:uid="{976B2F77-B77F-4760-A6C0-7E61EFE1EE3E}" name="cohort_ends_by_separation" dataDxfId="45">
      <calculatedColumnFormula>IF($W$2="","Enter separation date",IF(tblFellowshipTracking[[#This Row],[cohort_end_date]]="","Missing cohort end",IF(tblFellowshipTracking[[#This Row],[cohort_end_date]]&lt;=$W$2,"Yes","No")))</calculatedColumnFormula>
    </tableColumn>
    <tableColumn id="19" xr3:uid="{B12B8213-3294-4170-8DB3-0B8E096DF569}" name="application_deadline_status" dataDxfId="44">
      <calculatedColumnFormula>IF($W$2="","Enter separation date",IF(tblFellowshipTracking[[#This Row],[application_deadline]]="","Missing deadline",IF(tblFellowshipTracking[[#This Row],[application_deadline]]&lt;TODAY(),"Closed / past",IF(tblFellowshipTracking[[#This Row],[application_deadline]]&lt;tblFellowshipTracking[[#This Row],[eligibility_window_start]],"Before 180-day window","Open during or after window"))))</calculatedColumnFormula>
    </tableColumn>
    <tableColumn id="20" xr3:uid="{0F88F865-3DBC-4121-809C-B220DAF1AE66}" name="overall_timing_status" dataDxfId="43">
      <calculatedColumnFormula>IF($W$2="","Enter separation date",IF(tblFellowshipTracking[[#This Row],[skillbridge_eligible]]&lt;&gt;"Yes","Not marked SkillBridge eligible",IF(AND(tblFellowshipTracking[[#This Row],[cohort_starts_within_180_day_window]]="Yes",tblFellowshipTracking[[#This Row],[cohort_ends_by_separation]]="Yes"),"Timing aligned - verify approval","Timing conflict or incomplete")))</calculatedColumnFormula>
    </tableColumn>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A67CFC04-A143-4FD3-AABD-94FF15AF36FF}" name="tblFellowshipSettings" displayName="tblFellowshipSettings" ref="V1:W2" totalsRowShown="0">
  <autoFilter ref="V1:W2" xr:uid="{A67CFC04-A143-4FD3-AABD-94FF15AF36FF}"/>
  <tableColumns count="2">
    <tableColumn id="1" xr3:uid="{CBE08B0F-067B-427D-AD51-CB624348E1C3}" name="setting_name"/>
    <tableColumn id="2" xr3:uid="{06E8EF30-EFAB-471F-89E0-BCD08D57E951}" name="setting_value" dataDxfId="42"/>
  </tableColumns>
  <tableStyleInfo name="TableStyleLight9"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F0D60A87-8B3E-47C9-A511-5ACCDC3D2BB3}" name="tblCorporateRequisitionMap" displayName="tblCorporateRequisitionMap" ref="A1:N2" totalsRowShown="0" headerRowDxfId="41" dataDxfId="40">
  <autoFilter ref="A1:N2" xr:uid="{F0D60A87-8B3E-47C9-A511-5ACCDC3D2BB3}"/>
  <tableColumns count="14">
    <tableColumn id="1" xr3:uid="{2AD5B953-7B11-4EF8-9AB4-7EAEF108D508}" name="req_id" dataDxfId="39"/>
    <tableColumn id="2" xr3:uid="{FB291654-EC92-48A1-8E37-92A2391A130E}" name="employer_name" dataDxfId="38"/>
    <tableColumn id="3" xr3:uid="{AF13DA96-8827-4A9D-89E2-982AC245094D}" name="job_title" dataDxfId="37"/>
    <tableColumn id="4" xr3:uid="{D9D26135-9ACA-4E98-AEC2-1908099A24D5}" name="job_family" dataDxfId="36"/>
    <tableColumn id="5" xr3:uid="{4C614115-72CD-4B60-8696-C52F4A357715}" name="required_skills" dataDxfId="35"/>
    <tableColumn id="6" xr3:uid="{9DA4F575-2D3E-44FE-93D7-D88EA21E32EF}" name="preferred_skills" dataDxfId="34"/>
    <tableColumn id="7" xr3:uid="{78DC1B33-D60C-44A3-AAA3-EE79B92BF2DE}" name="ats_keywords" dataDxfId="33"/>
    <tableColumn id="8" xr3:uid="{0726B5F2-F7FE-4899-A602-3CF5CCC4F27B}" name="compatible_mos_codes" dataDxfId="32"/>
    <tableColumn id="9" xr3:uid="{AC46A5EB-B3DB-4CB6-B672-C9D4D311CF33}" name="compatible_jst_skills" dataDxfId="31"/>
    <tableColumn id="10" xr3:uid="{AAB1562B-3BE2-49A7-91AC-251C144BD7EC}" name="experience_level" dataDxfId="30"/>
    <tableColumn id="11" xr3:uid="{487C0207-94CA-4D69-9B00-7A5A03689E24}" name="fellowship_eligible" dataDxfId="29"/>
    <tableColumn id="12" xr3:uid="{A7AD3036-0A1E-4DFA-96FC-61C2C349C304}" name="recruiter_notes" dataDxfId="28"/>
    <tableColumn id="13" xr3:uid="{10132425-29A5-4657-B35E-DE6863CD4E7D}" name="source_url" dataDxfId="27"/>
    <tableColumn id="14" xr3:uid="{E9510B6E-3304-46A2-8960-53E18C38BA56}" name="notes" dataDxfId="26"/>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9DF7F663-50BD-483A-BA24-3B732295B44C}" name="tblPrivacyGuardrails" displayName="tblPrivacyGuardrails" ref="A1:G10" totalsRowShown="0" headerRowDxfId="25" dataDxfId="24">
  <autoFilter ref="A1:G10" xr:uid="{9DF7F663-50BD-483A-BA24-3B732295B44C}"/>
  <tableColumns count="7">
    <tableColumn id="1" xr3:uid="{B3B4EA92-C17C-41F4-BA43-8C1267B6CFCC}" name="6" dataDxfId="23"/>
    <tableColumn id="2" xr3:uid="{A60C3C9E-EC2F-4E09-9B96-FEB9B007FF3F}" name="detection_pattern" dataDxfId="22"/>
    <tableColumn id="3" xr3:uid="{C242C3A3-8F2A-40BC-ABF0-0BC2D3517C49}" name="prohibited_input_example" dataDxfId="21"/>
    <tableColumn id="4" xr3:uid="{8446A762-65C4-443B-B8E6-5825079618E4}" name="replacement_placeholder" dataDxfId="20"/>
    <tableColumn id="5" xr3:uid="{2ADA8FF0-76A1-4997-9532-64F376D0C106}" name="action_required" dataDxfId="19"/>
    <tableColumn id="6" xr3:uid="{4BCC6788-702E-4040-8D36-E6F84E03FCB2}" name="applies_to_sheet" dataDxfId="18"/>
    <tableColumn id="7" xr3:uid="{F44CC14E-D300-44C4-8EE3-5CBEF48925DE}" name="notes" dataDxfId="17"/>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B0617C82-9E68-4BA3-B591-3ECB3127908A}" name="tblSourceRegister" displayName="tblSourceRegister" ref="A1:H23" totalsRowShown="0" headerRowDxfId="196" dataDxfId="195">
  <autoFilter ref="A1:H23" xr:uid="{B0617C82-9E68-4BA3-B591-3ECB3127908A}"/>
  <tableColumns count="8">
    <tableColumn id="1" xr3:uid="{9F004531-4829-4BB5-88C2-B938097E321C}" name="source_id" dataDxfId="194"/>
    <tableColumn id="2" xr3:uid="{F9B4C850-CFBA-437B-8973-A9DFBF507315}" name="source_name" dataDxfId="193"/>
    <tableColumn id="3" xr3:uid="{7A1EF3A0-8B78-4DEB-9D15-B273636C1DDE}" name="source_type" dataDxfId="192"/>
    <tableColumn id="4" xr3:uid="{893A022A-EE6D-4EFF-83BE-E6308F43B203}" name="related_role" dataDxfId="191"/>
    <tableColumn id="5" xr3:uid="{99FD64D6-075F-413B-BCD0-563F43E097D3}" name="url" dataDxfId="190"/>
    <tableColumn id="6" xr3:uid="{2163D884-314E-48DE-8D5C-D0C4D95D1ECA}" name="date_accessed" dataDxfId="189"/>
    <tableColumn id="7" xr3:uid="{94034C71-A797-4DF4-8068-7B4551F1967F}" name="trust_level" dataDxfId="188"/>
    <tableColumn id="8" xr3:uid="{9B8DD4B4-714D-41E7-B2A4-CE1F20E1F184}" name="notes" dataDxfId="187"/>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DF08FA2-56BD-4093-99F2-B820B923CAB2}" name="tblPrompts" displayName="tblPrompts" ref="A1:D11" totalsRowShown="0" headerRowDxfId="16" dataDxfId="14" headerRowBorderDxfId="15" tableBorderDxfId="13">
  <autoFilter ref="A1:D11" xr:uid="{FDF08FA2-56BD-4093-99F2-B820B923CAB2}"/>
  <tableColumns count="4">
    <tableColumn id="1" xr3:uid="{A8829702-D0A5-4FFF-87BC-FC691FB64D39}" name="output_type" dataDxfId="12"/>
    <tableColumn id="2" xr3:uid="{DB71BA27-BBAF-49B9-8A9F-1BB7FEADC32A}" name="category" dataDxfId="11"/>
    <tableColumn id="3" xr3:uid="{D10F8BFA-75CF-427C-A154-1CB16F1D0678}" name="prompt_instructions" dataDxfId="10"/>
    <tableColumn id="4" xr3:uid="{32CA810E-0EC2-4BF2-857E-A5C96682F78A}" name="recommended_length" dataDxfId="9"/>
  </tableColumns>
  <tableStyleInfo name="TableStyleMedium2" showFirstColumn="0" showLastColumn="0" showRowStripes="0"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18DB0F1-C223-497A-84EA-41A7AD24513D}" name="tblAuditLog" displayName="tblAuditLog" ref="A1:H5" totalsRowShown="0">
  <autoFilter ref="A1:H5" xr:uid="{018DB0F1-C223-497A-84EA-41A7AD24513D}"/>
  <tableColumns count="8">
    <tableColumn id="1" xr3:uid="{B92B795F-4210-49AA-A088-49E077BBC50D}" name="event_id"/>
    <tableColumn id="2" xr3:uid="{837E5F6F-9ED9-4FCA-9611-0D1BCCFA170D}" name="timestamp" dataDxfId="8"/>
    <tableColumn id="3" xr3:uid="{3B5A2771-F7B5-43CD-A751-3102A092416B}" name="action_type"/>
    <tableColumn id="4" xr3:uid="{436B975C-5305-40DF-BF76-A32A776A85E0}" name="sheet_object"/>
    <tableColumn id="5" xr3:uid="{23A5377B-F4AF-4E09-8ADD-F7750ECDB385}" name="record_id"/>
    <tableColumn id="6" xr3:uid="{D10A9819-0A03-4F49-833C-8396DC121226}" name="description"/>
    <tableColumn id="7" xr3:uid="{427FB150-62EC-4AB3-997E-2F26750A46F7}" name="result"/>
    <tableColumn id="8" xr3:uid="{3A0B8807-CFB1-4B86-BCB8-719F89DE7A00}" name="source"/>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AD0A74F-E9DF-491F-8E14-6291B478FB6D}" name="tblButtonAssignments" displayName="tblButtonAssignments" ref="A1:B4" totalsRowShown="0" headerRowDxfId="7" dataDxfId="5" headerRowBorderDxfId="6" tableBorderDxfId="4">
  <autoFilter ref="A1:B4" xr:uid="{EAD0A74F-E9DF-491F-8E14-6291B478FB6D}"/>
  <tableColumns count="2">
    <tableColumn id="1" xr3:uid="{CEAAB4F9-8B79-4212-B09B-46980562EC70}" name="form_label" dataDxfId="3"/>
    <tableColumn id="2" xr3:uid="{80987DC9-4122-4B87-92C6-82FAE3237F45}" name="assigned_macro" dataDxfId="2"/>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table" Target="../tables/table4.xml"/></Relationships>
</file>

<file path=xl/worksheets/_rels/sheet9.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5.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table" Target="../tables/table12.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1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508393-2284-430D-9C15-79739AB96424}">
  <sheetPr>
    <tabColor rgb="FF475467"/>
  </sheetPr>
  <dimension ref="A1:I41"/>
  <sheetViews>
    <sheetView workbookViewId="0">
      <selection activeCell="J14" sqref="J14"/>
    </sheetView>
  </sheetViews>
  <sheetFormatPr defaultRowHeight="15" x14ac:dyDescent="0.25"/>
  <cols>
    <col min="1" max="1" width="27.5703125" customWidth="1"/>
    <col min="2" max="2" width="78.140625" style="1" customWidth="1"/>
    <col min="3" max="8" width="8.5703125" customWidth="1"/>
  </cols>
  <sheetData>
    <row r="1" spans="1:9" ht="32.1" customHeight="1" x14ac:dyDescent="0.25">
      <c r="A1" s="31" t="s">
        <v>0</v>
      </c>
      <c r="B1" s="31"/>
      <c r="C1" s="31"/>
      <c r="D1" s="31"/>
      <c r="E1" s="31"/>
      <c r="F1" s="31"/>
      <c r="G1" s="31"/>
      <c r="H1" s="31"/>
      <c r="I1" s="6"/>
    </row>
    <row r="2" spans="1:9" ht="21.95" customHeight="1" x14ac:dyDescent="0.25">
      <c r="A2" s="32" t="s">
        <v>1</v>
      </c>
      <c r="B2" s="32"/>
      <c r="C2" s="32"/>
      <c r="D2" s="32"/>
      <c r="E2" s="32"/>
      <c r="F2" s="32"/>
      <c r="G2" s="32"/>
      <c r="H2" s="32"/>
      <c r="I2" s="6"/>
    </row>
    <row r="3" spans="1:9" x14ac:dyDescent="0.25">
      <c r="A3" s="7"/>
      <c r="B3" s="7"/>
      <c r="C3" s="7"/>
      <c r="D3" s="7"/>
      <c r="E3" s="7"/>
      <c r="F3" s="7"/>
      <c r="G3" s="7"/>
      <c r="H3" s="7"/>
      <c r="I3" s="6"/>
    </row>
    <row r="4" spans="1:9" x14ac:dyDescent="0.25">
      <c r="A4" s="33" t="s">
        <v>2</v>
      </c>
      <c r="B4" s="33"/>
      <c r="C4" s="33"/>
      <c r="D4" s="33"/>
      <c r="E4" s="33"/>
      <c r="F4" s="33"/>
      <c r="G4" s="33"/>
      <c r="H4" s="33"/>
      <c r="I4" s="6"/>
    </row>
    <row r="5" spans="1:9" x14ac:dyDescent="0.25">
      <c r="A5" s="29" t="s">
        <v>326</v>
      </c>
      <c r="B5" s="29"/>
      <c r="C5" s="29"/>
      <c r="D5" s="29"/>
      <c r="E5" s="29"/>
      <c r="F5" s="29"/>
      <c r="G5" s="29"/>
      <c r="H5" s="29"/>
      <c r="I5" s="6"/>
    </row>
    <row r="6" spans="1:9" x14ac:dyDescent="0.25">
      <c r="A6" s="29"/>
      <c r="B6" s="29"/>
      <c r="C6" s="29"/>
      <c r="D6" s="29"/>
      <c r="E6" s="29"/>
      <c r="F6" s="29"/>
      <c r="G6" s="29"/>
      <c r="H6" s="29"/>
      <c r="I6" s="6"/>
    </row>
    <row r="7" spans="1:9" x14ac:dyDescent="0.25">
      <c r="A7" s="29"/>
      <c r="B7" s="29"/>
      <c r="C7" s="29"/>
      <c r="D7" s="29"/>
      <c r="E7" s="29"/>
      <c r="F7" s="29"/>
      <c r="G7" s="29"/>
      <c r="H7" s="29"/>
      <c r="I7" s="6"/>
    </row>
    <row r="8" spans="1:9" x14ac:dyDescent="0.25">
      <c r="A8" s="7"/>
      <c r="B8" s="7"/>
      <c r="C8" s="7"/>
      <c r="D8" s="7"/>
      <c r="E8" s="7"/>
      <c r="F8" s="7"/>
      <c r="G8" s="7"/>
      <c r="H8" s="7"/>
      <c r="I8" s="6"/>
    </row>
    <row r="9" spans="1:9" x14ac:dyDescent="0.25">
      <c r="A9" s="33" t="s">
        <v>3</v>
      </c>
      <c r="B9" s="33"/>
      <c r="C9" s="33"/>
      <c r="D9" s="33"/>
      <c r="E9" s="33"/>
      <c r="F9" s="33"/>
      <c r="G9" s="33"/>
      <c r="H9" s="33"/>
      <c r="I9" s="6"/>
    </row>
    <row r="10" spans="1:9" ht="15.75" thickBot="1" x14ac:dyDescent="0.3">
      <c r="A10" s="9" t="s">
        <v>4</v>
      </c>
      <c r="B10" s="9" t="s">
        <v>5</v>
      </c>
      <c r="C10" s="7"/>
      <c r="D10" s="7"/>
      <c r="E10" s="7"/>
      <c r="F10" s="7"/>
      <c r="G10" s="7"/>
      <c r="H10" s="7"/>
      <c r="I10" s="6"/>
    </row>
    <row r="11" spans="1:9" x14ac:dyDescent="0.25">
      <c r="A11" s="10" t="s">
        <v>327</v>
      </c>
      <c r="B11" s="10" t="s">
        <v>328</v>
      </c>
      <c r="C11" s="7"/>
      <c r="D11" s="7"/>
      <c r="E11" s="7"/>
      <c r="F11" s="7"/>
      <c r="G11" s="7"/>
      <c r="H11" s="7"/>
      <c r="I11" s="6"/>
    </row>
    <row r="12" spans="1:9" x14ac:dyDescent="0.25">
      <c r="A12" s="11" t="s">
        <v>1413</v>
      </c>
      <c r="B12" s="11" t="s">
        <v>1414</v>
      </c>
      <c r="C12" s="7"/>
      <c r="D12" s="7"/>
      <c r="E12" s="7"/>
      <c r="F12" s="7"/>
      <c r="G12" s="7"/>
      <c r="H12" s="7"/>
      <c r="I12" s="6"/>
    </row>
    <row r="13" spans="1:9" x14ac:dyDescent="0.25">
      <c r="A13" s="10" t="s">
        <v>6</v>
      </c>
      <c r="B13" s="10" t="s">
        <v>329</v>
      </c>
      <c r="C13" s="7"/>
      <c r="D13" s="7"/>
      <c r="E13" s="7"/>
      <c r="F13" s="7"/>
      <c r="G13" s="7"/>
      <c r="H13" s="7"/>
      <c r="I13" s="6"/>
    </row>
    <row r="14" spans="1:9" x14ac:dyDescent="0.25">
      <c r="A14" s="11" t="s">
        <v>8</v>
      </c>
      <c r="B14" s="11" t="s">
        <v>365</v>
      </c>
      <c r="C14" s="7"/>
      <c r="D14" s="7"/>
      <c r="E14" s="7"/>
      <c r="F14" s="7"/>
      <c r="G14" s="7"/>
      <c r="H14" s="7"/>
      <c r="I14" s="6"/>
    </row>
    <row r="15" spans="1:9" x14ac:dyDescent="0.25">
      <c r="A15" s="10" t="s">
        <v>331</v>
      </c>
      <c r="B15" s="10" t="s">
        <v>339</v>
      </c>
      <c r="C15" s="7"/>
      <c r="D15" s="7"/>
      <c r="E15" s="7"/>
      <c r="F15" s="7"/>
      <c r="G15" s="7"/>
      <c r="H15" s="7"/>
      <c r="I15" s="6"/>
    </row>
    <row r="16" spans="1:9" x14ac:dyDescent="0.25">
      <c r="A16" s="11" t="s">
        <v>7</v>
      </c>
      <c r="B16" s="11" t="s">
        <v>330</v>
      </c>
      <c r="C16" s="7"/>
      <c r="D16" s="7"/>
      <c r="E16" s="7"/>
      <c r="F16" s="7"/>
      <c r="G16" s="7"/>
      <c r="H16" s="7"/>
      <c r="I16" s="6"/>
    </row>
    <row r="17" spans="1:9" x14ac:dyDescent="0.25">
      <c r="A17" s="10" t="s">
        <v>325</v>
      </c>
      <c r="B17" s="10" t="s">
        <v>342</v>
      </c>
      <c r="C17" s="7"/>
      <c r="D17" s="7"/>
      <c r="E17" s="7"/>
      <c r="F17" s="7"/>
      <c r="G17" s="7"/>
      <c r="H17" s="7"/>
      <c r="I17" s="6"/>
    </row>
    <row r="18" spans="1:9" ht="27" x14ac:dyDescent="0.25">
      <c r="A18" s="10" t="s">
        <v>1641</v>
      </c>
      <c r="B18" s="10" t="s">
        <v>1655</v>
      </c>
      <c r="C18" s="7"/>
      <c r="D18" s="7"/>
      <c r="E18" s="7"/>
      <c r="F18" s="7"/>
      <c r="G18" s="7"/>
      <c r="H18" s="7"/>
      <c r="I18" s="6"/>
    </row>
    <row r="19" spans="1:9" x14ac:dyDescent="0.25">
      <c r="A19" s="10" t="s">
        <v>1425</v>
      </c>
      <c r="B19" s="10" t="s">
        <v>1426</v>
      </c>
      <c r="C19" s="7"/>
      <c r="D19" s="7"/>
      <c r="E19" s="7"/>
      <c r="F19" s="7"/>
      <c r="G19" s="7"/>
      <c r="H19" s="7"/>
      <c r="I19" s="6"/>
    </row>
    <row r="20" spans="1:9" x14ac:dyDescent="0.25">
      <c r="A20" s="10" t="s">
        <v>1427</v>
      </c>
      <c r="B20" s="10" t="s">
        <v>1428</v>
      </c>
      <c r="C20" s="7"/>
      <c r="D20" s="7"/>
      <c r="E20" s="7"/>
      <c r="F20" s="7"/>
      <c r="G20" s="7"/>
      <c r="H20" s="7"/>
      <c r="I20" s="6"/>
    </row>
    <row r="21" spans="1:9" x14ac:dyDescent="0.25">
      <c r="A21" s="10" t="s">
        <v>340</v>
      </c>
      <c r="B21" s="10" t="s">
        <v>341</v>
      </c>
      <c r="C21" s="7"/>
      <c r="D21" s="7"/>
      <c r="E21" s="7"/>
      <c r="F21" s="7"/>
      <c r="G21" s="7"/>
      <c r="H21" s="7"/>
      <c r="I21" s="6"/>
    </row>
    <row r="22" spans="1:9" ht="27" x14ac:dyDescent="0.25">
      <c r="A22" s="10" t="s">
        <v>1415</v>
      </c>
      <c r="B22" s="10" t="s">
        <v>1416</v>
      </c>
      <c r="C22" s="7"/>
      <c r="D22" s="7"/>
      <c r="E22" s="7"/>
      <c r="F22" s="7"/>
      <c r="G22" s="7"/>
      <c r="H22" s="7"/>
      <c r="I22" s="6"/>
    </row>
    <row r="23" spans="1:9" x14ac:dyDescent="0.25">
      <c r="A23" s="10" t="s">
        <v>1417</v>
      </c>
      <c r="B23" s="10" t="s">
        <v>1418</v>
      </c>
      <c r="C23" s="7"/>
      <c r="D23" s="7"/>
      <c r="E23" s="7"/>
      <c r="F23" s="7"/>
      <c r="G23" s="7"/>
      <c r="H23" s="7"/>
      <c r="I23" s="6"/>
    </row>
    <row r="24" spans="1:9" ht="27" x14ac:dyDescent="0.25">
      <c r="A24" s="10" t="s">
        <v>1419</v>
      </c>
      <c r="B24" s="10" t="s">
        <v>1420</v>
      </c>
      <c r="C24" s="7"/>
      <c r="D24" s="7"/>
      <c r="E24" s="7"/>
      <c r="F24" s="7"/>
      <c r="G24" s="7"/>
      <c r="H24" s="7"/>
      <c r="I24" s="6"/>
    </row>
    <row r="25" spans="1:9" x14ac:dyDescent="0.25">
      <c r="A25" s="10" t="s">
        <v>1421</v>
      </c>
      <c r="B25" s="10" t="s">
        <v>1422</v>
      </c>
      <c r="C25" s="7"/>
      <c r="D25" s="7"/>
      <c r="E25" s="7"/>
      <c r="F25" s="7"/>
      <c r="G25" s="7"/>
      <c r="H25" s="7"/>
      <c r="I25" s="6"/>
    </row>
    <row r="26" spans="1:9" x14ac:dyDescent="0.25">
      <c r="A26" s="10" t="s">
        <v>1423</v>
      </c>
      <c r="B26" s="10" t="s">
        <v>1424</v>
      </c>
      <c r="C26" s="7"/>
      <c r="D26" s="7"/>
      <c r="E26" s="7"/>
      <c r="F26" s="7"/>
      <c r="G26" s="7"/>
      <c r="H26" s="7"/>
      <c r="I26" s="6"/>
    </row>
    <row r="27" spans="1:9" ht="27" x14ac:dyDescent="0.25">
      <c r="A27" s="10" t="s">
        <v>1429</v>
      </c>
      <c r="B27" s="10" t="s">
        <v>1430</v>
      </c>
      <c r="C27" s="7"/>
      <c r="D27" s="7"/>
      <c r="E27" s="7"/>
      <c r="F27" s="7"/>
      <c r="G27" s="7"/>
      <c r="H27" s="7"/>
      <c r="I27" s="6"/>
    </row>
    <row r="28" spans="1:9" x14ac:dyDescent="0.25">
      <c r="A28" s="10" t="s">
        <v>9</v>
      </c>
      <c r="B28" s="10" t="s">
        <v>366</v>
      </c>
      <c r="C28" s="7"/>
      <c r="D28" s="7"/>
      <c r="E28" s="7"/>
      <c r="F28" s="7"/>
      <c r="G28" s="7"/>
      <c r="H28" s="7"/>
      <c r="I28" s="6"/>
    </row>
    <row r="29" spans="1:9" x14ac:dyDescent="0.25">
      <c r="A29" s="10" t="s">
        <v>345</v>
      </c>
      <c r="B29" s="10" t="s">
        <v>367</v>
      </c>
      <c r="C29" s="7"/>
      <c r="D29" s="7"/>
      <c r="E29" s="7"/>
      <c r="F29" s="7"/>
      <c r="G29" s="7"/>
      <c r="H29" s="7"/>
      <c r="I29" s="6"/>
    </row>
    <row r="30" spans="1:9" x14ac:dyDescent="0.25">
      <c r="A30" s="10" t="s">
        <v>10</v>
      </c>
      <c r="B30" s="10" t="s">
        <v>368</v>
      </c>
      <c r="C30" s="7"/>
      <c r="D30" s="7"/>
      <c r="E30" s="7"/>
      <c r="F30" s="7"/>
      <c r="G30" s="7"/>
      <c r="H30" s="7"/>
    </row>
    <row r="31" spans="1:9" x14ac:dyDescent="0.25">
      <c r="A31" s="10" t="s">
        <v>1431</v>
      </c>
      <c r="B31" s="10" t="s">
        <v>1432</v>
      </c>
      <c r="C31" s="7"/>
      <c r="D31" s="7"/>
      <c r="E31" s="7"/>
      <c r="F31" s="7"/>
      <c r="G31" s="7"/>
      <c r="H31" s="7"/>
    </row>
    <row r="32" spans="1:9" ht="27" x14ac:dyDescent="0.25">
      <c r="A32" s="10" t="s">
        <v>1648</v>
      </c>
      <c r="B32" s="10" t="s">
        <v>1656</v>
      </c>
      <c r="C32" s="7"/>
      <c r="D32" s="7"/>
      <c r="E32" s="7"/>
      <c r="F32" s="7"/>
      <c r="G32" s="7"/>
      <c r="H32" s="7"/>
    </row>
    <row r="33" spans="1:8" x14ac:dyDescent="0.25">
      <c r="A33" s="33" t="s">
        <v>11</v>
      </c>
      <c r="B33" s="33"/>
      <c r="C33" s="33"/>
      <c r="D33" s="33"/>
      <c r="E33" s="33"/>
      <c r="F33" s="33"/>
      <c r="G33" s="33"/>
      <c r="H33" s="33"/>
    </row>
    <row r="34" spans="1:8" x14ac:dyDescent="0.25">
      <c r="A34" s="29" t="s">
        <v>12</v>
      </c>
      <c r="B34" s="29"/>
      <c r="C34" s="29"/>
      <c r="D34" s="29"/>
      <c r="E34" s="29"/>
      <c r="F34" s="29"/>
      <c r="G34" s="29"/>
      <c r="H34" s="29"/>
    </row>
    <row r="35" spans="1:8" x14ac:dyDescent="0.25">
      <c r="A35" s="29"/>
      <c r="B35" s="29"/>
      <c r="C35" s="29"/>
      <c r="D35" s="29"/>
      <c r="E35" s="29"/>
      <c r="F35" s="29"/>
      <c r="G35" s="29"/>
      <c r="H35" s="29"/>
    </row>
    <row r="36" spans="1:8" x14ac:dyDescent="0.25">
      <c r="A36" s="29"/>
      <c r="B36" s="29"/>
      <c r="C36" s="29"/>
      <c r="D36" s="29"/>
      <c r="E36" s="29"/>
      <c r="F36" s="29"/>
      <c r="G36" s="29"/>
      <c r="H36" s="29"/>
    </row>
    <row r="37" spans="1:8" x14ac:dyDescent="0.25">
      <c r="A37" s="29"/>
      <c r="B37" s="29"/>
      <c r="C37" s="29"/>
      <c r="D37" s="29"/>
      <c r="E37" s="29"/>
      <c r="F37" s="29"/>
      <c r="G37" s="29"/>
      <c r="H37" s="29"/>
    </row>
    <row r="38" spans="1:8" x14ac:dyDescent="0.25">
      <c r="A38" s="7"/>
      <c r="B38" s="7"/>
      <c r="C38" s="7"/>
      <c r="D38" s="7"/>
      <c r="E38" s="7"/>
      <c r="F38" s="7"/>
      <c r="G38" s="7"/>
      <c r="H38" s="7"/>
    </row>
    <row r="39" spans="1:8" x14ac:dyDescent="0.25">
      <c r="A39" s="30" t="s">
        <v>13</v>
      </c>
      <c r="B39" s="30"/>
      <c r="C39" s="30"/>
      <c r="D39" s="30"/>
      <c r="E39" s="30"/>
      <c r="F39" s="30"/>
      <c r="G39" s="30"/>
      <c r="H39" s="30"/>
    </row>
    <row r="40" spans="1:8" x14ac:dyDescent="0.25">
      <c r="A40" s="30"/>
      <c r="B40" s="30"/>
      <c r="C40" s="30"/>
      <c r="D40" s="30"/>
      <c r="E40" s="30"/>
      <c r="F40" s="30"/>
      <c r="G40" s="30"/>
      <c r="H40" s="30"/>
    </row>
    <row r="41" spans="1:8" x14ac:dyDescent="0.25">
      <c r="A41" s="6"/>
      <c r="B41" s="28"/>
      <c r="C41" s="6"/>
      <c r="D41" s="6"/>
      <c r="E41" s="6"/>
      <c r="F41" s="6"/>
      <c r="G41" s="6"/>
      <c r="H41" s="6"/>
    </row>
  </sheetData>
  <mergeCells count="8">
    <mergeCell ref="A34:H37"/>
    <mergeCell ref="A39:H40"/>
    <mergeCell ref="A1:H1"/>
    <mergeCell ref="A2:H2"/>
    <mergeCell ref="A4:H4"/>
    <mergeCell ref="A5:H7"/>
    <mergeCell ref="A9:H9"/>
    <mergeCell ref="A33:H33"/>
  </mergeCells>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2847C0-CA5C-466C-BD32-3AC22A05A8FF}">
  <dimension ref="A1:J23"/>
  <sheetViews>
    <sheetView workbookViewId="0">
      <pane ySplit="1" topLeftCell="A2" activePane="bottomLeft" state="frozen"/>
      <selection pane="bottomLeft" sqref="A1:H1"/>
    </sheetView>
  </sheetViews>
  <sheetFormatPr defaultRowHeight="15" x14ac:dyDescent="0.25"/>
  <cols>
    <col min="1" max="4" width="28.5703125" style="1" customWidth="1"/>
    <col min="5" max="6" width="45.7109375" style="1" customWidth="1"/>
    <col min="7" max="9" width="32.42578125" style="1" customWidth="1"/>
    <col min="10" max="10" width="44.7109375" style="1" customWidth="1"/>
  </cols>
  <sheetData>
    <row r="1" spans="1:10" ht="33.950000000000003" customHeight="1" x14ac:dyDescent="0.25">
      <c r="A1" s="1" t="s">
        <v>1510</v>
      </c>
      <c r="B1" s="1" t="s">
        <v>1511</v>
      </c>
      <c r="C1" s="1" t="s">
        <v>1512</v>
      </c>
      <c r="D1" s="1" t="s">
        <v>1513</v>
      </c>
      <c r="E1" s="1" t="s">
        <v>407</v>
      </c>
      <c r="F1" s="1" t="s">
        <v>1514</v>
      </c>
      <c r="G1" s="1" t="s">
        <v>1515</v>
      </c>
      <c r="H1" s="1" t="s">
        <v>1516</v>
      </c>
      <c r="I1" s="1" t="s">
        <v>1517</v>
      </c>
      <c r="J1" s="1" t="s">
        <v>1518</v>
      </c>
    </row>
    <row r="2" spans="1:10" ht="30" x14ac:dyDescent="0.25">
      <c r="A2" s="24" t="s">
        <v>327</v>
      </c>
      <c r="B2" s="24" t="s">
        <v>1519</v>
      </c>
      <c r="C2" s="24"/>
      <c r="D2" s="24"/>
      <c r="E2" s="24" t="s">
        <v>1520</v>
      </c>
      <c r="F2" s="24" t="s">
        <v>1521</v>
      </c>
      <c r="G2" s="24" t="s">
        <v>1522</v>
      </c>
      <c r="H2" s="24" t="s">
        <v>1523</v>
      </c>
      <c r="I2" s="24" t="s">
        <v>1524</v>
      </c>
      <c r="J2" s="24" t="s">
        <v>1525</v>
      </c>
    </row>
    <row r="3" spans="1:10" ht="30" x14ac:dyDescent="0.25">
      <c r="A3" s="24" t="s">
        <v>1413</v>
      </c>
      <c r="B3" s="24" t="s">
        <v>1526</v>
      </c>
      <c r="C3" s="24"/>
      <c r="D3" s="24"/>
      <c r="E3" s="24" t="s">
        <v>1527</v>
      </c>
      <c r="F3" s="24" t="s">
        <v>1528</v>
      </c>
      <c r="G3" s="24" t="s">
        <v>1529</v>
      </c>
      <c r="H3" s="24" t="s">
        <v>1530</v>
      </c>
      <c r="I3" s="24" t="s">
        <v>1531</v>
      </c>
      <c r="J3" s="24" t="s">
        <v>1532</v>
      </c>
    </row>
    <row r="4" spans="1:10" ht="45" x14ac:dyDescent="0.25">
      <c r="A4" s="24" t="s">
        <v>6</v>
      </c>
      <c r="B4" s="24" t="s">
        <v>1533</v>
      </c>
      <c r="C4" s="24"/>
      <c r="D4" s="24"/>
      <c r="E4" s="24" t="s">
        <v>1534</v>
      </c>
      <c r="F4" s="24" t="s">
        <v>1535</v>
      </c>
      <c r="G4" s="24" t="s">
        <v>1536</v>
      </c>
      <c r="H4" s="24" t="s">
        <v>1537</v>
      </c>
      <c r="I4" s="24" t="s">
        <v>1538</v>
      </c>
      <c r="J4" s="24" t="s">
        <v>1539</v>
      </c>
    </row>
    <row r="5" spans="1:10" ht="45" x14ac:dyDescent="0.25">
      <c r="A5" s="24" t="s">
        <v>7</v>
      </c>
      <c r="B5" s="24" t="s">
        <v>1540</v>
      </c>
      <c r="C5" s="24" t="s">
        <v>1541</v>
      </c>
      <c r="D5" s="24" t="s">
        <v>369</v>
      </c>
      <c r="E5" s="24" t="s">
        <v>1542</v>
      </c>
      <c r="F5" s="24" t="s">
        <v>1543</v>
      </c>
      <c r="G5" s="24" t="s">
        <v>1544</v>
      </c>
      <c r="H5" s="24" t="s">
        <v>1545</v>
      </c>
      <c r="I5" s="24" t="s">
        <v>1546</v>
      </c>
      <c r="J5" s="24" t="s">
        <v>1547</v>
      </c>
    </row>
    <row r="6" spans="1:10" ht="45" x14ac:dyDescent="0.25">
      <c r="A6" s="24" t="s">
        <v>331</v>
      </c>
      <c r="B6" s="24" t="s">
        <v>1519</v>
      </c>
      <c r="C6" s="24"/>
      <c r="D6" s="24"/>
      <c r="E6" s="24" t="s">
        <v>1548</v>
      </c>
      <c r="F6" s="24" t="s">
        <v>1549</v>
      </c>
      <c r="G6" s="24" t="s">
        <v>1522</v>
      </c>
      <c r="H6" s="24" t="s">
        <v>1550</v>
      </c>
      <c r="I6" s="24" t="s">
        <v>1551</v>
      </c>
      <c r="J6" s="24" t="s">
        <v>1552</v>
      </c>
    </row>
    <row r="7" spans="1:10" ht="30" x14ac:dyDescent="0.25">
      <c r="A7" s="24" t="s">
        <v>340</v>
      </c>
      <c r="B7" s="24" t="s">
        <v>1540</v>
      </c>
      <c r="C7" s="24" t="s">
        <v>1553</v>
      </c>
      <c r="D7" s="24" t="s">
        <v>1554</v>
      </c>
      <c r="E7" s="24" t="s">
        <v>1555</v>
      </c>
      <c r="F7" s="24" t="s">
        <v>1556</v>
      </c>
      <c r="G7" s="24" t="s">
        <v>1544</v>
      </c>
      <c r="H7" s="24" t="s">
        <v>1557</v>
      </c>
      <c r="I7" s="24" t="s">
        <v>1558</v>
      </c>
      <c r="J7" s="24" t="s">
        <v>1559</v>
      </c>
    </row>
    <row r="8" spans="1:10" ht="30" x14ac:dyDescent="0.25">
      <c r="A8" s="24" t="s">
        <v>8</v>
      </c>
      <c r="B8" s="24" t="s">
        <v>1560</v>
      </c>
      <c r="C8" s="24"/>
      <c r="D8" s="24"/>
      <c r="E8" s="24" t="s">
        <v>1561</v>
      </c>
      <c r="F8" s="24" t="s">
        <v>1562</v>
      </c>
      <c r="G8" s="24" t="s">
        <v>1563</v>
      </c>
      <c r="H8" s="24" t="s">
        <v>1564</v>
      </c>
      <c r="I8" s="24" t="s">
        <v>1565</v>
      </c>
      <c r="J8" s="24" t="s">
        <v>1566</v>
      </c>
    </row>
    <row r="9" spans="1:10" ht="60" x14ac:dyDescent="0.25">
      <c r="A9" s="24" t="s">
        <v>325</v>
      </c>
      <c r="B9" s="24" t="s">
        <v>1540</v>
      </c>
      <c r="C9" s="24" t="s">
        <v>1567</v>
      </c>
      <c r="D9" s="24" t="s">
        <v>1568</v>
      </c>
      <c r="E9" s="24" t="s">
        <v>1569</v>
      </c>
      <c r="F9" s="24" t="s">
        <v>1570</v>
      </c>
      <c r="G9" s="24" t="s">
        <v>1544</v>
      </c>
      <c r="H9" s="24" t="s">
        <v>1557</v>
      </c>
      <c r="I9" s="24" t="s">
        <v>1571</v>
      </c>
      <c r="J9" s="24" t="s">
        <v>1572</v>
      </c>
    </row>
    <row r="10" spans="1:10" ht="30" x14ac:dyDescent="0.25">
      <c r="A10" s="24" t="s">
        <v>9</v>
      </c>
      <c r="B10" s="24" t="s">
        <v>1573</v>
      </c>
      <c r="C10" s="24" t="s">
        <v>1574</v>
      </c>
      <c r="D10" s="24" t="s">
        <v>390</v>
      </c>
      <c r="E10" s="24" t="s">
        <v>1575</v>
      </c>
      <c r="F10" s="24" t="s">
        <v>1576</v>
      </c>
      <c r="G10" s="24" t="s">
        <v>1544</v>
      </c>
      <c r="H10" s="24" t="s">
        <v>1577</v>
      </c>
      <c r="I10" s="24" t="s">
        <v>1578</v>
      </c>
      <c r="J10" s="24" t="s">
        <v>1579</v>
      </c>
    </row>
    <row r="11" spans="1:10" ht="30" x14ac:dyDescent="0.25">
      <c r="A11" s="24" t="s">
        <v>345</v>
      </c>
      <c r="B11" s="24" t="s">
        <v>1580</v>
      </c>
      <c r="C11" s="24" t="s">
        <v>1581</v>
      </c>
      <c r="D11" s="24" t="s">
        <v>394</v>
      </c>
      <c r="E11" s="24" t="s">
        <v>1582</v>
      </c>
      <c r="F11" s="24" t="s">
        <v>1583</v>
      </c>
      <c r="G11" s="24" t="s">
        <v>1544</v>
      </c>
      <c r="H11" s="24" t="s">
        <v>1584</v>
      </c>
      <c r="I11" s="24"/>
      <c r="J11" s="24" t="s">
        <v>1585</v>
      </c>
    </row>
    <row r="12" spans="1:10" ht="30" x14ac:dyDescent="0.25">
      <c r="A12" s="24" t="s">
        <v>10</v>
      </c>
      <c r="B12" s="24" t="s">
        <v>1573</v>
      </c>
      <c r="C12" s="24" t="s">
        <v>1586</v>
      </c>
      <c r="D12" s="24" t="s">
        <v>401</v>
      </c>
      <c r="E12" s="24" t="s">
        <v>1587</v>
      </c>
      <c r="F12" s="24" t="s">
        <v>1588</v>
      </c>
      <c r="G12" s="24" t="s">
        <v>1544</v>
      </c>
      <c r="H12" s="24" t="s">
        <v>1577</v>
      </c>
      <c r="I12" s="24" t="s">
        <v>1589</v>
      </c>
      <c r="J12" s="24" t="s">
        <v>1590</v>
      </c>
    </row>
    <row r="13" spans="1:10" ht="30" x14ac:dyDescent="0.25">
      <c r="A13" s="24" t="s">
        <v>1431</v>
      </c>
      <c r="B13" s="24" t="s">
        <v>1591</v>
      </c>
      <c r="C13" s="24"/>
      <c r="D13" s="24"/>
      <c r="E13" s="24" t="s">
        <v>1592</v>
      </c>
      <c r="F13" s="24" t="s">
        <v>1593</v>
      </c>
      <c r="G13" s="24" t="s">
        <v>1522</v>
      </c>
      <c r="H13" s="24" t="s">
        <v>1550</v>
      </c>
      <c r="I13" s="24" t="s">
        <v>1594</v>
      </c>
      <c r="J13" s="24" t="s">
        <v>1595</v>
      </c>
    </row>
    <row r="14" spans="1:10" ht="45" x14ac:dyDescent="0.25">
      <c r="A14" s="24" t="s">
        <v>1415</v>
      </c>
      <c r="B14" s="24" t="s">
        <v>1540</v>
      </c>
      <c r="C14" s="24" t="s">
        <v>1596</v>
      </c>
      <c r="D14" s="24" t="s">
        <v>408</v>
      </c>
      <c r="E14" s="24" t="s">
        <v>1597</v>
      </c>
      <c r="F14" s="24" t="s">
        <v>1598</v>
      </c>
      <c r="G14" s="24" t="s">
        <v>1544</v>
      </c>
      <c r="H14" s="24" t="s">
        <v>1599</v>
      </c>
      <c r="I14" s="24" t="s">
        <v>1600</v>
      </c>
      <c r="J14" s="24" t="s">
        <v>1601</v>
      </c>
    </row>
    <row r="15" spans="1:10" ht="30" x14ac:dyDescent="0.25">
      <c r="A15" s="24" t="s">
        <v>1417</v>
      </c>
      <c r="B15" s="24" t="s">
        <v>1540</v>
      </c>
      <c r="C15" s="24" t="s">
        <v>1602</v>
      </c>
      <c r="D15" s="24" t="s">
        <v>506</v>
      </c>
      <c r="E15" s="24" t="s">
        <v>1603</v>
      </c>
      <c r="F15" s="24" t="s">
        <v>1604</v>
      </c>
      <c r="G15" s="24" t="s">
        <v>1544</v>
      </c>
      <c r="H15" s="24" t="s">
        <v>1605</v>
      </c>
      <c r="I15" s="24" t="s">
        <v>1606</v>
      </c>
      <c r="J15" s="24" t="s">
        <v>1607</v>
      </c>
    </row>
    <row r="16" spans="1:10" ht="30" x14ac:dyDescent="0.25">
      <c r="A16" s="24" t="s">
        <v>1419</v>
      </c>
      <c r="B16" s="24" t="s">
        <v>1540</v>
      </c>
      <c r="C16" s="24" t="s">
        <v>1608</v>
      </c>
      <c r="D16" s="24" t="s">
        <v>1609</v>
      </c>
      <c r="E16" s="24" t="s">
        <v>1610</v>
      </c>
      <c r="F16" s="24" t="s">
        <v>1611</v>
      </c>
      <c r="G16" s="24" t="s">
        <v>1544</v>
      </c>
      <c r="H16" s="24" t="s">
        <v>1612</v>
      </c>
      <c r="I16" s="24" t="s">
        <v>1613</v>
      </c>
      <c r="J16" s="24" t="s">
        <v>1614</v>
      </c>
    </row>
    <row r="17" spans="1:10" ht="30" x14ac:dyDescent="0.25">
      <c r="A17" s="24" t="s">
        <v>1421</v>
      </c>
      <c r="B17" s="24" t="s">
        <v>1540</v>
      </c>
      <c r="C17" s="24" t="s">
        <v>1615</v>
      </c>
      <c r="D17" s="24" t="s">
        <v>582</v>
      </c>
      <c r="E17" s="24" t="s">
        <v>1422</v>
      </c>
      <c r="F17" s="24" t="s">
        <v>1616</v>
      </c>
      <c r="G17" s="24" t="s">
        <v>1544</v>
      </c>
      <c r="H17" s="24" t="s">
        <v>1617</v>
      </c>
      <c r="I17" s="24" t="s">
        <v>1618</v>
      </c>
      <c r="J17" s="24" t="s">
        <v>1619</v>
      </c>
    </row>
    <row r="18" spans="1:10" ht="45" x14ac:dyDescent="0.25">
      <c r="A18" s="24" t="s">
        <v>1423</v>
      </c>
      <c r="B18" s="24" t="s">
        <v>1580</v>
      </c>
      <c r="C18" s="24" t="s">
        <v>1578</v>
      </c>
      <c r="D18" s="24" t="s">
        <v>593</v>
      </c>
      <c r="E18" s="24" t="s">
        <v>1620</v>
      </c>
      <c r="F18" s="24" t="s">
        <v>1621</v>
      </c>
      <c r="G18" s="24" t="s">
        <v>1544</v>
      </c>
      <c r="H18" s="24" t="s">
        <v>1622</v>
      </c>
      <c r="I18" s="24" t="s">
        <v>1623</v>
      </c>
      <c r="J18" s="24" t="s">
        <v>1624</v>
      </c>
    </row>
    <row r="19" spans="1:10" ht="30" x14ac:dyDescent="0.25">
      <c r="A19" s="24" t="s">
        <v>1425</v>
      </c>
      <c r="B19" s="24" t="s">
        <v>1540</v>
      </c>
      <c r="C19" s="24" t="s">
        <v>1625</v>
      </c>
      <c r="D19" s="24" t="s">
        <v>1626</v>
      </c>
      <c r="E19" s="24" t="s">
        <v>1627</v>
      </c>
      <c r="F19" s="24" t="s">
        <v>1628</v>
      </c>
      <c r="G19" s="24" t="s">
        <v>1544</v>
      </c>
      <c r="H19" s="24" t="s">
        <v>1629</v>
      </c>
      <c r="I19" s="24" t="s">
        <v>1630</v>
      </c>
      <c r="J19" s="24" t="s">
        <v>1631</v>
      </c>
    </row>
    <row r="20" spans="1:10" ht="45" x14ac:dyDescent="0.25">
      <c r="A20" s="24" t="s">
        <v>1429</v>
      </c>
      <c r="B20" s="24" t="s">
        <v>1580</v>
      </c>
      <c r="C20" s="24" t="s">
        <v>1600</v>
      </c>
      <c r="D20" s="24" t="s">
        <v>992</v>
      </c>
      <c r="E20" s="24" t="s">
        <v>1632</v>
      </c>
      <c r="F20" s="24" t="s">
        <v>1633</v>
      </c>
      <c r="G20" s="24" t="s">
        <v>1544</v>
      </c>
      <c r="H20" s="24" t="s">
        <v>1634</v>
      </c>
      <c r="I20" s="24"/>
      <c r="J20" s="24" t="s">
        <v>1635</v>
      </c>
    </row>
    <row r="21" spans="1:10" ht="45" x14ac:dyDescent="0.25">
      <c r="A21" s="24" t="s">
        <v>1427</v>
      </c>
      <c r="B21" s="24" t="s">
        <v>1540</v>
      </c>
      <c r="C21" s="24" t="s">
        <v>1636</v>
      </c>
      <c r="D21" s="24" t="s">
        <v>1122</v>
      </c>
      <c r="E21" s="24" t="s">
        <v>1637</v>
      </c>
      <c r="F21" s="24" t="s">
        <v>1638</v>
      </c>
      <c r="G21" s="24" t="s">
        <v>1544</v>
      </c>
      <c r="H21" s="24" t="s">
        <v>1557</v>
      </c>
      <c r="I21" s="24" t="s">
        <v>1639</v>
      </c>
      <c r="J21" s="24" t="s">
        <v>1640</v>
      </c>
    </row>
    <row r="22" spans="1:10" ht="45" x14ac:dyDescent="0.25">
      <c r="A22" s="24" t="s">
        <v>1641</v>
      </c>
      <c r="B22" s="24" t="s">
        <v>1540</v>
      </c>
      <c r="C22" s="24" t="s">
        <v>1642</v>
      </c>
      <c r="D22" s="24" t="s">
        <v>1449</v>
      </c>
      <c r="E22" s="24" t="s">
        <v>1643</v>
      </c>
      <c r="F22" s="24" t="s">
        <v>1644</v>
      </c>
      <c r="G22" s="24" t="s">
        <v>1544</v>
      </c>
      <c r="H22" s="24" t="s">
        <v>1645</v>
      </c>
      <c r="I22" s="24" t="s">
        <v>1646</v>
      </c>
      <c r="J22" s="24" t="s">
        <v>1647</v>
      </c>
    </row>
    <row r="23" spans="1:10" ht="45" x14ac:dyDescent="0.25">
      <c r="A23" s="24" t="s">
        <v>1648</v>
      </c>
      <c r="B23" s="24" t="s">
        <v>1580</v>
      </c>
      <c r="C23" s="24" t="s">
        <v>1649</v>
      </c>
      <c r="D23" s="24" t="s">
        <v>1510</v>
      </c>
      <c r="E23" s="24" t="s">
        <v>1650</v>
      </c>
      <c r="F23" s="24" t="s">
        <v>1651</v>
      </c>
      <c r="G23" s="24" t="s">
        <v>1544</v>
      </c>
      <c r="H23" s="24" t="s">
        <v>1652</v>
      </c>
      <c r="I23" s="24" t="s">
        <v>1653</v>
      </c>
      <c r="J23" s="24" t="s">
        <v>1654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F05F1-359C-40A5-954D-A43362BCC425}">
  <sheetPr>
    <tabColor rgb="FF2F6690"/>
  </sheetPr>
  <dimension ref="A1:M66"/>
  <sheetViews>
    <sheetView workbookViewId="0">
      <selection activeCell="A3" sqref="A1:A1048576"/>
    </sheetView>
  </sheetViews>
  <sheetFormatPr defaultRowHeight="15" x14ac:dyDescent="0.25"/>
  <cols>
    <col min="1" max="6" width="13.28515625" customWidth="1"/>
    <col min="7" max="7" width="3.85546875" customWidth="1"/>
    <col min="8" max="13" width="13.28515625" customWidth="1"/>
  </cols>
  <sheetData>
    <row r="1" spans="1:13" ht="32.1" customHeight="1" x14ac:dyDescent="0.25">
      <c r="A1" s="31" t="s">
        <v>229</v>
      </c>
      <c r="B1" s="31"/>
      <c r="C1" s="31"/>
      <c r="D1" s="31"/>
      <c r="E1" s="31"/>
      <c r="F1" s="31"/>
      <c r="G1" s="31"/>
      <c r="H1" s="31"/>
      <c r="I1" s="31"/>
      <c r="J1" s="31"/>
      <c r="K1" s="31"/>
      <c r="L1" s="31"/>
      <c r="M1" s="31"/>
    </row>
    <row r="2" spans="1:13" ht="21.95" customHeight="1" x14ac:dyDescent="0.25">
      <c r="A2" s="37" t="s">
        <v>230</v>
      </c>
      <c r="B2" s="37"/>
      <c r="C2" s="37"/>
      <c r="D2" s="37"/>
      <c r="E2" s="37"/>
      <c r="F2" s="37"/>
      <c r="G2" s="37"/>
      <c r="H2" s="37"/>
      <c r="I2" s="37"/>
      <c r="J2" s="37"/>
      <c r="K2" s="37"/>
      <c r="L2" s="37"/>
      <c r="M2" s="37"/>
    </row>
    <row r="3" spans="1:13" x14ac:dyDescent="0.25">
      <c r="A3" s="2"/>
      <c r="B3" s="2"/>
      <c r="C3" s="2"/>
      <c r="D3" s="2"/>
      <c r="E3" s="2"/>
      <c r="F3" s="2"/>
      <c r="G3" s="2"/>
      <c r="H3" s="2"/>
      <c r="I3" s="2"/>
      <c r="J3" s="2"/>
      <c r="K3" s="2"/>
      <c r="L3" s="2"/>
      <c r="M3" s="2"/>
    </row>
    <row r="4" spans="1:13" x14ac:dyDescent="0.25">
      <c r="A4" s="38" t="s">
        <v>231</v>
      </c>
      <c r="B4" s="38"/>
      <c r="C4" s="38"/>
      <c r="D4" s="40" t="s">
        <v>232</v>
      </c>
      <c r="E4" s="40"/>
      <c r="F4" s="40"/>
      <c r="G4" s="41" t="s">
        <v>337</v>
      </c>
      <c r="H4" s="41"/>
      <c r="I4" s="41"/>
      <c r="J4" s="42" t="s">
        <v>233</v>
      </c>
      <c r="K4" s="42"/>
      <c r="L4" s="42"/>
      <c r="M4" s="42"/>
    </row>
    <row r="5" spans="1:13" x14ac:dyDescent="0.25">
      <c r="A5" s="39">
        <f>COUNTA(tblRecords[record_id])</f>
        <v>3</v>
      </c>
      <c r="B5" s="39"/>
      <c r="C5" s="39"/>
      <c r="D5" s="39">
        <f>COUNTIF(tblRecords[pii_status],"Clear")</f>
        <v>3</v>
      </c>
      <c r="E5" s="39"/>
      <c r="F5" s="39"/>
      <c r="G5" s="39">
        <f>COUNTIFS(tblRecords[include_in_output],"Yes",tblRecords[pii_status],"Clear")</f>
        <v>2</v>
      </c>
      <c r="H5" s="39"/>
      <c r="I5" s="39"/>
      <c r="J5" s="43">
        <f>'Skills Gap'!H22</f>
        <v>0.66666666666666663</v>
      </c>
      <c r="K5" s="43"/>
      <c r="L5" s="43"/>
      <c r="M5" s="43"/>
    </row>
    <row r="6" spans="1:13" x14ac:dyDescent="0.25">
      <c r="A6" s="39"/>
      <c r="B6" s="39"/>
      <c r="C6" s="39"/>
      <c r="D6" s="39"/>
      <c r="E6" s="39"/>
      <c r="F6" s="39"/>
      <c r="G6" s="39"/>
      <c r="H6" s="39"/>
      <c r="I6" s="39"/>
      <c r="J6" s="43"/>
      <c r="K6" s="43"/>
      <c r="L6" s="43"/>
      <c r="M6" s="43"/>
    </row>
    <row r="7" spans="1:13" x14ac:dyDescent="0.25">
      <c r="A7" s="2"/>
      <c r="B7" s="2"/>
      <c r="C7" s="2"/>
      <c r="D7" s="2"/>
      <c r="E7" s="2"/>
      <c r="F7" s="2"/>
      <c r="G7" s="2"/>
      <c r="H7" s="2"/>
      <c r="I7" s="2"/>
      <c r="J7" s="2"/>
      <c r="K7" s="2"/>
      <c r="L7" s="2"/>
      <c r="M7" s="2"/>
    </row>
    <row r="8" spans="1:13" x14ac:dyDescent="0.25">
      <c r="A8" s="34" t="s">
        <v>234</v>
      </c>
      <c r="B8" s="34"/>
      <c r="C8" s="34"/>
      <c r="D8" s="34"/>
      <c r="E8" s="34"/>
      <c r="F8" s="34"/>
      <c r="G8" s="34"/>
      <c r="H8" s="34"/>
      <c r="I8" s="34"/>
      <c r="J8" s="34"/>
      <c r="K8" s="34"/>
      <c r="L8" s="34"/>
      <c r="M8" s="34"/>
    </row>
    <row r="9" spans="1:13" x14ac:dyDescent="0.25">
      <c r="A9" s="35" t="str">
        <f>_xlfn.LET(_xlpm.b,COUNTIF('Analytics Data'!S2:S7,"&gt;0"),"The workbook contains "&amp;COUNTA(tblRecords[record_id])&amp;" accomplishment records across "&amp;_xlpm.b&amp;" represented service "&amp;IF(_xlpm.b=1,"branch","branches")&amp;"; "&amp;COUNTIF(tblRecords[pii_status],"Clear")&amp;" are PII-cleared and "&amp;COUNTIFS(tblRecords[include_in_output],"Yes",tblRecords[pii_status],"Clear")&amp;" are output-ready. The current "&amp;'Skills Gap'!B6&amp;" pathway shows "&amp;TEXT('Skills Gap'!H22,"0%")&amp;" skill coverage.")</f>
        <v>The workbook contains 3 accomplishment records across 1 represented service branch; 3 are PII-cleared and 2 are output-ready. The current Project Management pathway shows 67% skill coverage.</v>
      </c>
      <c r="B9" s="35"/>
      <c r="C9" s="35"/>
      <c r="D9" s="35"/>
      <c r="E9" s="35"/>
      <c r="F9" s="35"/>
      <c r="G9" s="35"/>
      <c r="H9" s="35"/>
      <c r="I9" s="35"/>
      <c r="J9" s="35"/>
      <c r="K9" s="35"/>
      <c r="L9" s="35"/>
      <c r="M9" s="35"/>
    </row>
    <row r="10" spans="1:13" x14ac:dyDescent="0.25">
      <c r="A10" s="35"/>
      <c r="B10" s="35"/>
      <c r="C10" s="35"/>
      <c r="D10" s="35"/>
      <c r="E10" s="35"/>
      <c r="F10" s="35"/>
      <c r="G10" s="35"/>
      <c r="H10" s="35"/>
      <c r="I10" s="35"/>
      <c r="J10" s="35"/>
      <c r="K10" s="35"/>
      <c r="L10" s="35"/>
      <c r="M10" s="35"/>
    </row>
    <row r="65" spans="1:13" x14ac:dyDescent="0.25">
      <c r="A65" s="36" t="s">
        <v>332</v>
      </c>
      <c r="B65" s="36"/>
      <c r="C65" s="36"/>
      <c r="D65" s="36"/>
      <c r="E65" s="36"/>
      <c r="F65" s="36"/>
      <c r="G65" s="36"/>
      <c r="H65" s="36"/>
      <c r="I65" s="36"/>
      <c r="J65" s="36"/>
      <c r="K65" s="36"/>
      <c r="L65" s="36"/>
      <c r="M65" s="36"/>
    </row>
    <row r="66" spans="1:13" x14ac:dyDescent="0.25">
      <c r="A66" s="36"/>
      <c r="B66" s="36"/>
      <c r="C66" s="36"/>
      <c r="D66" s="36"/>
      <c r="E66" s="36"/>
      <c r="F66" s="36"/>
      <c r="G66" s="36"/>
      <c r="H66" s="36"/>
      <c r="I66" s="36"/>
      <c r="J66" s="36"/>
      <c r="K66" s="36"/>
      <c r="L66" s="36"/>
      <c r="M66" s="36"/>
    </row>
  </sheetData>
  <mergeCells count="13">
    <mergeCell ref="A8:M8"/>
    <mergeCell ref="A9:M10"/>
    <mergeCell ref="A65:M66"/>
    <mergeCell ref="A1:M1"/>
    <mergeCell ref="A2:M2"/>
    <mergeCell ref="A4:C4"/>
    <mergeCell ref="A5:C6"/>
    <mergeCell ref="D4:F4"/>
    <mergeCell ref="D5:F6"/>
    <mergeCell ref="G4:I4"/>
    <mergeCell ref="G5:I6"/>
    <mergeCell ref="J4:M4"/>
    <mergeCell ref="J5:M6"/>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5A4EB4-2C56-47C5-B8C6-5737D5D048A7}">
  <sheetPr>
    <tabColor rgb="FF217346"/>
  </sheetPr>
  <dimension ref="A1:I38"/>
  <sheetViews>
    <sheetView workbookViewId="0">
      <selection sqref="A1:M1"/>
    </sheetView>
  </sheetViews>
  <sheetFormatPr defaultRowHeight="15" x14ac:dyDescent="0.25"/>
  <cols>
    <col min="1" max="1" width="32.42578125" customWidth="1"/>
    <col min="2" max="8" width="17.140625" customWidth="1"/>
  </cols>
  <sheetData>
    <row r="1" spans="1:9" ht="32.1" customHeight="1" x14ac:dyDescent="0.25">
      <c r="A1" s="31" t="s">
        <v>14</v>
      </c>
      <c r="B1" s="31"/>
      <c r="C1" s="31"/>
      <c r="D1" s="31"/>
      <c r="E1" s="31"/>
      <c r="F1" s="31"/>
      <c r="G1" s="31"/>
      <c r="H1" s="31"/>
      <c r="I1" s="6"/>
    </row>
    <row r="2" spans="1:9" ht="21.95" customHeight="1" x14ac:dyDescent="0.25">
      <c r="A2" s="32" t="s">
        <v>333</v>
      </c>
      <c r="B2" s="32"/>
      <c r="C2" s="32"/>
      <c r="D2" s="32"/>
      <c r="E2" s="32"/>
      <c r="F2" s="32"/>
      <c r="G2" s="32"/>
      <c r="H2" s="32"/>
      <c r="I2" s="6"/>
    </row>
    <row r="3" spans="1:9" x14ac:dyDescent="0.25">
      <c r="A3" s="7"/>
      <c r="B3" s="7"/>
      <c r="C3" s="7"/>
      <c r="D3" s="7"/>
      <c r="E3" s="7"/>
      <c r="F3" s="7"/>
      <c r="G3" s="7"/>
      <c r="H3" s="7"/>
      <c r="I3" s="6"/>
    </row>
    <row r="4" spans="1:9" x14ac:dyDescent="0.25">
      <c r="A4" s="33" t="s">
        <v>15</v>
      </c>
      <c r="B4" s="33"/>
      <c r="C4" s="33"/>
      <c r="D4" s="33"/>
      <c r="E4" s="33"/>
      <c r="F4" s="33"/>
      <c r="G4" s="33"/>
      <c r="H4" s="33"/>
      <c r="I4" s="6"/>
    </row>
    <row r="5" spans="1:9" x14ac:dyDescent="0.25">
      <c r="A5" s="7"/>
      <c r="B5" s="7"/>
      <c r="C5" s="7"/>
      <c r="D5" s="7"/>
      <c r="E5" s="7"/>
      <c r="F5" s="7"/>
      <c r="G5" s="7"/>
      <c r="H5" s="7"/>
      <c r="I5" s="6"/>
    </row>
    <row r="6" spans="1:9" x14ac:dyDescent="0.25">
      <c r="A6" s="8" t="s">
        <v>16</v>
      </c>
      <c r="B6" s="7"/>
      <c r="C6" s="7"/>
      <c r="D6" s="8" t="s">
        <v>121</v>
      </c>
      <c r="E6" s="44" t="s">
        <v>127</v>
      </c>
      <c r="F6" s="44"/>
      <c r="G6" s="44"/>
      <c r="H6" s="44"/>
      <c r="I6" s="6"/>
    </row>
    <row r="7" spans="1:9" x14ac:dyDescent="0.25">
      <c r="A7" s="8" t="s">
        <v>17</v>
      </c>
      <c r="B7" s="7" t="str">
        <f ca="1">"REC-"&amp;TEXT(TODAY(),"yyyymmdd")&amp;"-"&amp;TEXT(COUNTA(tblRecords[record_id])+1,"000")</f>
        <v>REC-20260922-004</v>
      </c>
      <c r="C7" s="7"/>
      <c r="D7" s="8" t="s">
        <v>122</v>
      </c>
      <c r="E7" s="44"/>
      <c r="F7" s="44"/>
      <c r="G7" s="44"/>
      <c r="H7" s="44"/>
      <c r="I7" s="6"/>
    </row>
    <row r="8" spans="1:9" ht="27" x14ac:dyDescent="0.25">
      <c r="A8" s="8" t="s">
        <v>18</v>
      </c>
      <c r="B8" s="7" t="s">
        <v>19</v>
      </c>
      <c r="C8" s="7"/>
      <c r="D8" s="8" t="s">
        <v>123</v>
      </c>
      <c r="E8" s="44"/>
      <c r="F8" s="44"/>
      <c r="G8" s="44"/>
      <c r="H8" s="44"/>
      <c r="I8" s="6"/>
    </row>
    <row r="9" spans="1:9" x14ac:dyDescent="0.25">
      <c r="A9" s="8" t="s">
        <v>20</v>
      </c>
      <c r="B9" s="7" t="s">
        <v>21</v>
      </c>
      <c r="C9" s="7"/>
      <c r="D9" s="8" t="s">
        <v>235</v>
      </c>
      <c r="E9" s="45" t="s">
        <v>236</v>
      </c>
      <c r="F9" s="45"/>
      <c r="G9" s="45"/>
      <c r="H9" s="45"/>
      <c r="I9" s="6"/>
    </row>
    <row r="10" spans="1:9" x14ac:dyDescent="0.25">
      <c r="A10" s="8" t="s">
        <v>22</v>
      </c>
      <c r="B10" s="7"/>
      <c r="C10" s="7"/>
      <c r="D10" s="7"/>
      <c r="E10" s="7"/>
      <c r="F10" s="7"/>
      <c r="G10" s="7"/>
      <c r="H10" s="7"/>
      <c r="I10" s="6"/>
    </row>
    <row r="11" spans="1:9" x14ac:dyDescent="0.25">
      <c r="A11" s="8" t="s">
        <v>23</v>
      </c>
      <c r="B11" s="7" t="str">
        <f>IF(E9="Army","NCOER / OER",IF(E9="Navy","FITREP / EVAL",IF(E9="Marine Corps","FITREP",IF(OR(E9="Air Force",E9="Space Force"),"EPB / OPB",IF(E9="Coast Guard","EER / OER","Official Record")))))</f>
        <v>NCOER / OER</v>
      </c>
      <c r="C11" s="7"/>
      <c r="D11" s="7"/>
      <c r="E11" s="7"/>
      <c r="F11" s="7"/>
      <c r="G11" s="7"/>
      <c r="H11" s="7"/>
      <c r="I11" s="6"/>
    </row>
    <row r="12" spans="1:9" x14ac:dyDescent="0.25">
      <c r="A12" s="7"/>
      <c r="B12" s="7"/>
      <c r="C12" s="7"/>
      <c r="D12" s="7"/>
      <c r="E12" s="7"/>
      <c r="F12" s="7"/>
      <c r="G12" s="7"/>
      <c r="H12" s="7"/>
      <c r="I12" s="6"/>
    </row>
    <row r="13" spans="1:9" x14ac:dyDescent="0.25">
      <c r="A13" s="33" t="s">
        <v>58</v>
      </c>
      <c r="B13" s="33"/>
      <c r="C13" s="33"/>
      <c r="D13" s="33"/>
      <c r="E13" s="33"/>
      <c r="F13" s="33"/>
      <c r="G13" s="33"/>
      <c r="H13" s="33"/>
      <c r="I13" s="6"/>
    </row>
    <row r="14" spans="1:9" x14ac:dyDescent="0.25">
      <c r="A14" s="8" t="s">
        <v>59</v>
      </c>
      <c r="B14" s="29"/>
      <c r="C14" s="29"/>
      <c r="D14" s="29"/>
      <c r="E14" s="29"/>
      <c r="F14" s="29"/>
      <c r="G14" s="29"/>
      <c r="H14" s="29"/>
      <c r="I14" s="6"/>
    </row>
    <row r="15" spans="1:9" x14ac:dyDescent="0.25">
      <c r="A15" s="7"/>
      <c r="B15" s="29"/>
      <c r="C15" s="29"/>
      <c r="D15" s="29"/>
      <c r="E15" s="29"/>
      <c r="F15" s="29"/>
      <c r="G15" s="29"/>
      <c r="H15" s="29"/>
      <c r="I15" s="6"/>
    </row>
    <row r="16" spans="1:9" x14ac:dyDescent="0.25">
      <c r="A16" s="7"/>
      <c r="B16" s="29"/>
      <c r="C16" s="29"/>
      <c r="D16" s="29"/>
      <c r="E16" s="29"/>
      <c r="F16" s="29"/>
      <c r="G16" s="29"/>
      <c r="H16" s="29"/>
      <c r="I16" s="6"/>
    </row>
    <row r="17" spans="1:9" x14ac:dyDescent="0.25">
      <c r="A17" s="7"/>
      <c r="B17" s="29"/>
      <c r="C17" s="29"/>
      <c r="D17" s="29"/>
      <c r="E17" s="29"/>
      <c r="F17" s="29"/>
      <c r="G17" s="29"/>
      <c r="H17" s="29"/>
      <c r="I17" s="6"/>
    </row>
    <row r="18" spans="1:9" x14ac:dyDescent="0.25">
      <c r="A18" s="8" t="s">
        <v>26</v>
      </c>
      <c r="B18" s="29"/>
      <c r="C18" s="29"/>
      <c r="D18" s="29"/>
      <c r="E18" s="29"/>
      <c r="F18" s="29"/>
      <c r="G18" s="29"/>
      <c r="H18" s="29"/>
      <c r="I18" s="6"/>
    </row>
    <row r="19" spans="1:9" x14ac:dyDescent="0.25">
      <c r="A19" s="7"/>
      <c r="B19" s="29"/>
      <c r="C19" s="29"/>
      <c r="D19" s="29"/>
      <c r="E19" s="29"/>
      <c r="F19" s="29"/>
      <c r="G19" s="29"/>
      <c r="H19" s="29"/>
      <c r="I19" s="6"/>
    </row>
    <row r="20" spans="1:9" x14ac:dyDescent="0.25">
      <c r="A20" s="8" t="s">
        <v>334</v>
      </c>
      <c r="B20" s="29"/>
      <c r="C20" s="29"/>
      <c r="D20" s="29"/>
      <c r="E20" s="29"/>
      <c r="F20" s="29"/>
      <c r="G20" s="29"/>
      <c r="H20" s="29"/>
      <c r="I20" s="6"/>
    </row>
    <row r="21" spans="1:9" x14ac:dyDescent="0.25">
      <c r="A21" s="7"/>
      <c r="B21" s="7"/>
      <c r="C21" s="7"/>
      <c r="D21" s="7"/>
      <c r="E21" s="7"/>
      <c r="F21" s="7"/>
      <c r="G21" s="7"/>
      <c r="H21" s="7"/>
      <c r="I21" s="6"/>
    </row>
    <row r="22" spans="1:9" x14ac:dyDescent="0.25">
      <c r="A22" s="8" t="s">
        <v>60</v>
      </c>
      <c r="B22" s="29"/>
      <c r="C22" s="29"/>
      <c r="D22" s="29"/>
      <c r="E22" s="29"/>
      <c r="F22" s="29"/>
      <c r="G22" s="29"/>
      <c r="H22" s="29"/>
      <c r="I22" s="6"/>
    </row>
    <row r="23" spans="1:9" x14ac:dyDescent="0.25">
      <c r="A23" s="7"/>
      <c r="B23" s="29"/>
      <c r="C23" s="29"/>
      <c r="D23" s="29"/>
      <c r="E23" s="29"/>
      <c r="F23" s="29"/>
      <c r="G23" s="29"/>
      <c r="H23" s="29"/>
      <c r="I23" s="6"/>
    </row>
    <row r="24" spans="1:9" x14ac:dyDescent="0.25">
      <c r="A24" s="8" t="s">
        <v>27</v>
      </c>
      <c r="B24" s="29"/>
      <c r="C24" s="29"/>
      <c r="D24" s="29"/>
      <c r="E24" s="29"/>
      <c r="F24" s="29"/>
      <c r="G24" s="29"/>
      <c r="H24" s="29"/>
      <c r="I24" s="6"/>
    </row>
    <row r="25" spans="1:9" x14ac:dyDescent="0.25">
      <c r="A25" s="7"/>
      <c r="B25" s="29"/>
      <c r="C25" s="29"/>
      <c r="D25" s="29"/>
      <c r="E25" s="29"/>
      <c r="F25" s="29"/>
      <c r="G25" s="29"/>
      <c r="H25" s="29"/>
      <c r="I25" s="6"/>
    </row>
    <row r="26" spans="1:9" x14ac:dyDescent="0.25">
      <c r="A26" s="8" t="s">
        <v>61</v>
      </c>
      <c r="B26" s="12" t="s">
        <v>57</v>
      </c>
      <c r="C26" s="7"/>
      <c r="D26" s="7"/>
      <c r="E26" s="7"/>
      <c r="F26" s="7"/>
      <c r="G26" s="7"/>
      <c r="H26" s="7"/>
      <c r="I26" s="6"/>
    </row>
    <row r="27" spans="1:9" x14ac:dyDescent="0.25">
      <c r="A27" s="8" t="s">
        <v>29</v>
      </c>
      <c r="B27" s="29"/>
      <c r="C27" s="29"/>
      <c r="D27" s="29"/>
      <c r="E27" s="29"/>
      <c r="F27" s="29"/>
      <c r="G27" s="29"/>
      <c r="H27" s="29"/>
      <c r="I27" s="6"/>
    </row>
    <row r="28" spans="1:9" x14ac:dyDescent="0.25">
      <c r="A28" s="7"/>
      <c r="B28" s="29"/>
      <c r="C28" s="29"/>
      <c r="D28" s="29"/>
      <c r="E28" s="29"/>
      <c r="F28" s="29"/>
      <c r="G28" s="29"/>
      <c r="H28" s="29"/>
      <c r="I28" s="6"/>
    </row>
    <row r="29" spans="1:9" x14ac:dyDescent="0.25">
      <c r="A29" s="7"/>
      <c r="B29" s="7"/>
      <c r="C29" s="7"/>
      <c r="D29" s="7"/>
      <c r="E29" s="7"/>
      <c r="F29" s="7"/>
      <c r="G29" s="7"/>
      <c r="H29" s="7"/>
      <c r="I29" s="6"/>
    </row>
    <row r="30" spans="1:9" x14ac:dyDescent="0.25">
      <c r="A30" s="33" t="s">
        <v>62</v>
      </c>
      <c r="B30" s="33"/>
      <c r="C30" s="33"/>
      <c r="D30" s="33"/>
      <c r="E30" s="33"/>
      <c r="F30" s="33"/>
      <c r="G30" s="33"/>
      <c r="H30" s="33"/>
      <c r="I30" s="6"/>
    </row>
    <row r="31" spans="1:9" x14ac:dyDescent="0.25">
      <c r="A31" s="7"/>
      <c r="B31" s="7"/>
      <c r="C31" s="7"/>
      <c r="D31" s="7"/>
      <c r="E31" s="7"/>
      <c r="F31" s="7"/>
      <c r="G31" s="7"/>
      <c r="H31" s="7"/>
      <c r="I31" s="6"/>
    </row>
    <row r="32" spans="1:9" x14ac:dyDescent="0.25">
      <c r="A32" s="46" t="s">
        <v>63</v>
      </c>
      <c r="B32" s="46"/>
      <c r="C32" s="7"/>
      <c r="D32" s="46" t="s">
        <v>64</v>
      </c>
      <c r="E32" s="46"/>
      <c r="F32" s="7"/>
      <c r="G32" s="46" t="s">
        <v>65</v>
      </c>
      <c r="H32" s="46"/>
      <c r="I32" s="6"/>
    </row>
    <row r="33" spans="1:9" x14ac:dyDescent="0.25">
      <c r="A33" s="46"/>
      <c r="B33" s="46"/>
      <c r="C33" s="7"/>
      <c r="D33" s="46"/>
      <c r="E33" s="46"/>
      <c r="F33" s="7"/>
      <c r="G33" s="46"/>
      <c r="H33" s="46"/>
      <c r="I33" s="6"/>
    </row>
    <row r="34" spans="1:9" x14ac:dyDescent="0.25">
      <c r="A34" s="7"/>
      <c r="B34" s="7"/>
      <c r="C34" s="7"/>
      <c r="D34" s="7"/>
      <c r="E34" s="7"/>
      <c r="F34" s="7"/>
      <c r="G34" s="7"/>
      <c r="H34" s="7"/>
      <c r="I34" s="6"/>
    </row>
    <row r="35" spans="1:9" x14ac:dyDescent="0.25">
      <c r="A35" s="29" t="s">
        <v>66</v>
      </c>
      <c r="B35" s="29"/>
      <c r="C35" s="29"/>
      <c r="D35" s="29"/>
      <c r="E35" s="29"/>
      <c r="F35" s="29"/>
      <c r="G35" s="29"/>
      <c r="H35" s="29"/>
      <c r="I35" s="6"/>
    </row>
    <row r="36" spans="1:9" x14ac:dyDescent="0.25">
      <c r="A36" s="29"/>
      <c r="B36" s="29"/>
      <c r="C36" s="29"/>
      <c r="D36" s="29"/>
      <c r="E36" s="29"/>
      <c r="F36" s="29"/>
      <c r="G36" s="29"/>
      <c r="H36" s="29"/>
      <c r="I36" s="6"/>
    </row>
    <row r="37" spans="1:9" x14ac:dyDescent="0.25">
      <c r="A37" s="29"/>
      <c r="B37" s="29"/>
      <c r="C37" s="29"/>
      <c r="D37" s="29"/>
      <c r="E37" s="29"/>
      <c r="F37" s="29"/>
      <c r="G37" s="29"/>
      <c r="H37" s="29"/>
      <c r="I37" s="6"/>
    </row>
    <row r="38" spans="1:9" x14ac:dyDescent="0.25">
      <c r="A38" s="6"/>
      <c r="B38" s="6"/>
      <c r="C38" s="6"/>
      <c r="D38" s="6"/>
      <c r="E38" s="6"/>
      <c r="F38" s="6"/>
      <c r="G38" s="6"/>
      <c r="H38" s="6"/>
      <c r="I38" s="6"/>
    </row>
  </sheetData>
  <mergeCells count="19">
    <mergeCell ref="A1:H1"/>
    <mergeCell ref="A2:H2"/>
    <mergeCell ref="A4:H4"/>
    <mergeCell ref="A13:H13"/>
    <mergeCell ref="B14:H17"/>
    <mergeCell ref="A35:H37"/>
    <mergeCell ref="E6:H6"/>
    <mergeCell ref="E7:H7"/>
    <mergeCell ref="E8:H8"/>
    <mergeCell ref="E9:H9"/>
    <mergeCell ref="B20:H20"/>
    <mergeCell ref="B22:H23"/>
    <mergeCell ref="B24:H25"/>
    <mergeCell ref="B27:H28"/>
    <mergeCell ref="A30:H30"/>
    <mergeCell ref="A32:B33"/>
    <mergeCell ref="D32:E33"/>
    <mergeCell ref="G32:H33"/>
    <mergeCell ref="B18:H19"/>
  </mergeCells>
  <dataValidations count="6">
    <dataValidation type="list" allowBlank="1" showInputMessage="1" showErrorMessage="1" sqref="B8" xr:uid="{A7DEDAD0-19E3-4447-94A1-081A5680CA2B}">
      <formula1>"Yes,No"</formula1>
    </dataValidation>
    <dataValidation type="list" allowBlank="1" showInputMessage="1" showErrorMessage="1" sqref="B9" xr:uid="{037D1648-0E56-4D73-8E50-1F74BD447810}">
      <formula1>"Evaluation Bullet,Award,Service School,Certification,Special Assignment,Volunteer Service,Other"</formula1>
    </dataValidation>
    <dataValidation type="list" allowBlank="1" showInputMessage="1" showErrorMessage="1" sqref="B11" xr:uid="{097ED59A-597E-4405-B55E-AAC0BEDEAAA7}">
      <formula1>BranchSourceTypes</formula1>
    </dataValidation>
    <dataValidation type="list" allowBlank="1" showInputMessage="1" showErrorMessage="1" sqref="B26" xr:uid="{23785852-D928-4BE0-AA4A-69FC7A8A58D5}">
      <formula1>"Clear,Needs Review,Do Not Use"</formula1>
    </dataValidation>
    <dataValidation type="list" allowBlank="1" showInputMessage="1" showErrorMessage="1" sqref="E6" xr:uid="{16416C6C-02C0-4443-9DBF-EF903BB88751}">
      <formula1>"Project Management,Operations,IT/Cybersecurity,Logistics,Other"</formula1>
    </dataValidation>
    <dataValidation type="list" allowBlank="1" showInputMessage="1" showErrorMessage="1" sqref="E9" xr:uid="{00458980-9A20-4051-B8DC-3B900253C605}">
      <formula1>"Army,Navy,Marine Corps,Air Force,Space Force,Coast Guard"</formula1>
    </dataValidation>
  </dataValidation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151320-2D6B-465B-B508-C82290DF822C}">
  <sheetPr>
    <tabColor rgb="FFC2410C"/>
  </sheetPr>
  <dimension ref="A1:I42"/>
  <sheetViews>
    <sheetView workbookViewId="0">
      <selection activeCell="K22" sqref="K22"/>
    </sheetView>
  </sheetViews>
  <sheetFormatPr defaultRowHeight="15" x14ac:dyDescent="0.25"/>
  <cols>
    <col min="1" max="1" width="30.42578125" customWidth="1"/>
    <col min="2" max="4" width="22.85546875" customWidth="1"/>
    <col min="5" max="8" width="11.42578125" customWidth="1"/>
  </cols>
  <sheetData>
    <row r="1" spans="1:9" ht="32.1" customHeight="1" x14ac:dyDescent="0.25">
      <c r="A1" s="31" t="s">
        <v>109</v>
      </c>
      <c r="B1" s="31"/>
      <c r="C1" s="31"/>
      <c r="D1" s="31"/>
      <c r="E1" s="31"/>
      <c r="F1" s="31"/>
      <c r="G1" s="31"/>
      <c r="H1" s="31"/>
      <c r="I1" s="6"/>
    </row>
    <row r="2" spans="1:9" ht="21.95" customHeight="1" x14ac:dyDescent="0.25">
      <c r="A2" s="32" t="s">
        <v>130</v>
      </c>
      <c r="B2" s="32"/>
      <c r="C2" s="32"/>
      <c r="D2" s="32"/>
      <c r="E2" s="32"/>
      <c r="F2" s="32"/>
      <c r="G2" s="32"/>
      <c r="H2" s="32"/>
      <c r="I2" s="6"/>
    </row>
    <row r="3" spans="1:9" x14ac:dyDescent="0.25">
      <c r="A3" s="7"/>
      <c r="B3" s="7"/>
      <c r="C3" s="7"/>
      <c r="D3" s="7"/>
      <c r="E3" s="7"/>
      <c r="F3" s="7"/>
      <c r="G3" s="7"/>
      <c r="H3" s="7"/>
      <c r="I3" s="6"/>
    </row>
    <row r="4" spans="1:9" x14ac:dyDescent="0.25">
      <c r="A4" s="33" t="s">
        <v>110</v>
      </c>
      <c r="B4" s="33"/>
      <c r="C4" s="33"/>
      <c r="D4" s="33"/>
      <c r="E4" s="33"/>
      <c r="F4" s="33"/>
      <c r="G4" s="33"/>
      <c r="H4" s="33"/>
      <c r="I4" s="6"/>
    </row>
    <row r="5" spans="1:9" x14ac:dyDescent="0.25">
      <c r="A5" s="7"/>
      <c r="B5" s="7"/>
      <c r="C5" s="7"/>
      <c r="D5" s="7"/>
      <c r="E5" s="7"/>
      <c r="F5" s="7"/>
      <c r="G5" s="7"/>
      <c r="H5" s="7"/>
      <c r="I5" s="6"/>
    </row>
    <row r="6" spans="1:9" x14ac:dyDescent="0.25">
      <c r="A6" s="8" t="s">
        <v>67</v>
      </c>
      <c r="B6" s="29" t="s">
        <v>360</v>
      </c>
      <c r="C6" s="29"/>
      <c r="D6" s="29"/>
      <c r="E6" s="7"/>
      <c r="F6" s="7"/>
      <c r="G6" s="7"/>
      <c r="H6" s="7"/>
      <c r="I6" s="6"/>
    </row>
    <row r="7" spans="1:9" x14ac:dyDescent="0.25">
      <c r="A7" s="8" t="s">
        <v>68</v>
      </c>
      <c r="B7" s="29" t="str">
        <f>IFERROR(_xlfn.XLOOKUP(B6,tblPrompts[output_type],tblPrompts[category]),"")</f>
        <v>Employment</v>
      </c>
      <c r="C7" s="29"/>
      <c r="D7" s="29"/>
      <c r="E7" s="7"/>
      <c r="F7" s="7"/>
      <c r="G7" s="7"/>
      <c r="H7" s="7"/>
      <c r="I7" s="6"/>
    </row>
    <row r="8" spans="1:9" x14ac:dyDescent="0.25">
      <c r="A8" s="8" t="s">
        <v>111</v>
      </c>
      <c r="B8" s="29"/>
      <c r="C8" s="29"/>
      <c r="D8" s="29"/>
      <c r="E8" s="7"/>
      <c r="F8" s="7"/>
      <c r="G8" s="7"/>
      <c r="H8" s="7"/>
      <c r="I8" s="6"/>
    </row>
    <row r="9" spans="1:9" x14ac:dyDescent="0.25">
      <c r="A9" s="8" t="s">
        <v>112</v>
      </c>
      <c r="B9" s="29" t="s">
        <v>114</v>
      </c>
      <c r="C9" s="29"/>
      <c r="D9" s="29"/>
      <c r="E9" s="7"/>
      <c r="F9" s="7"/>
      <c r="G9" s="7"/>
      <c r="H9" s="7"/>
      <c r="I9" s="6"/>
    </row>
    <row r="10" spans="1:9" x14ac:dyDescent="0.25">
      <c r="A10" s="8" t="s">
        <v>113</v>
      </c>
      <c r="B10" s="29" t="str">
        <f>IFERROR(_xlfn.XLOOKUP(B6,tblPrompts[output_type],tblPrompts[recommended_length]),"")</f>
        <v>1–2 pages</v>
      </c>
      <c r="C10" s="29"/>
      <c r="D10" s="29"/>
      <c r="E10" s="7"/>
      <c r="F10" s="7"/>
      <c r="G10" s="7"/>
      <c r="H10" s="7"/>
      <c r="I10" s="6"/>
    </row>
    <row r="11" spans="1:9" x14ac:dyDescent="0.25">
      <c r="A11" s="8" t="s">
        <v>129</v>
      </c>
      <c r="B11" s="44"/>
      <c r="C11" s="44"/>
      <c r="D11" s="44"/>
      <c r="E11" s="44"/>
      <c r="F11" s="44"/>
      <c r="G11" s="44"/>
      <c r="H11" s="44"/>
      <c r="I11" s="6"/>
    </row>
    <row r="12" spans="1:9" x14ac:dyDescent="0.25">
      <c r="A12" s="33" t="s">
        <v>115</v>
      </c>
      <c r="B12" s="33"/>
      <c r="C12" s="33"/>
      <c r="D12" s="33"/>
      <c r="E12" s="33"/>
      <c r="F12" s="33"/>
      <c r="G12" s="33"/>
      <c r="H12" s="33"/>
      <c r="I12" s="6"/>
    </row>
    <row r="13" spans="1:9" x14ac:dyDescent="0.25">
      <c r="A13" s="29"/>
      <c r="B13" s="29"/>
      <c r="C13" s="29"/>
      <c r="D13" s="29"/>
      <c r="E13" s="29"/>
      <c r="F13" s="29"/>
      <c r="G13" s="29"/>
      <c r="H13" s="29"/>
      <c r="I13" s="6"/>
    </row>
    <row r="14" spans="1:9" x14ac:dyDescent="0.25">
      <c r="A14" s="29"/>
      <c r="B14" s="29"/>
      <c r="C14" s="29"/>
      <c r="D14" s="29"/>
      <c r="E14" s="29"/>
      <c r="F14" s="29"/>
      <c r="G14" s="29"/>
      <c r="H14" s="29"/>
      <c r="I14" s="6"/>
    </row>
    <row r="15" spans="1:9" x14ac:dyDescent="0.25">
      <c r="A15" s="29"/>
      <c r="B15" s="29"/>
      <c r="C15" s="29"/>
      <c r="D15" s="29"/>
      <c r="E15" s="29"/>
      <c r="F15" s="29"/>
      <c r="G15" s="29"/>
      <c r="H15" s="29"/>
      <c r="I15" s="6"/>
    </row>
    <row r="16" spans="1:9" x14ac:dyDescent="0.25">
      <c r="A16" s="29"/>
      <c r="B16" s="29"/>
      <c r="C16" s="29"/>
      <c r="D16" s="29"/>
      <c r="E16" s="29"/>
      <c r="F16" s="29"/>
      <c r="G16" s="29"/>
      <c r="H16" s="29"/>
      <c r="I16" s="6"/>
    </row>
    <row r="17" spans="1:9" x14ac:dyDescent="0.25">
      <c r="A17" s="29"/>
      <c r="B17" s="29"/>
      <c r="C17" s="29"/>
      <c r="D17" s="29"/>
      <c r="E17" s="29"/>
      <c r="F17" s="29"/>
      <c r="G17" s="29"/>
      <c r="H17" s="29"/>
      <c r="I17" s="6"/>
    </row>
    <row r="18" spans="1:9" x14ac:dyDescent="0.25">
      <c r="A18" s="29"/>
      <c r="B18" s="29"/>
      <c r="C18" s="29"/>
      <c r="D18" s="29"/>
      <c r="E18" s="29"/>
      <c r="F18" s="29"/>
      <c r="G18" s="29"/>
      <c r="H18" s="29"/>
      <c r="I18" s="6"/>
    </row>
    <row r="19" spans="1:9" x14ac:dyDescent="0.25">
      <c r="A19" s="29"/>
      <c r="B19" s="29"/>
      <c r="C19" s="29"/>
      <c r="D19" s="29"/>
      <c r="E19" s="29"/>
      <c r="F19" s="29"/>
      <c r="G19" s="29"/>
      <c r="H19" s="29"/>
      <c r="I19" s="6"/>
    </row>
    <row r="20" spans="1:9" x14ac:dyDescent="0.25">
      <c r="A20" s="47" t="s">
        <v>336</v>
      </c>
      <c r="B20" s="47"/>
      <c r="C20" s="47"/>
      <c r="D20" s="47"/>
      <c r="E20" s="47"/>
      <c r="F20" s="47"/>
      <c r="G20" s="47"/>
      <c r="H20" s="47"/>
      <c r="I20" s="6"/>
    </row>
    <row r="21" spans="1:9" x14ac:dyDescent="0.25">
      <c r="A21" s="33" t="s">
        <v>116</v>
      </c>
      <c r="B21" s="33"/>
      <c r="C21" s="33"/>
      <c r="D21" s="33"/>
      <c r="E21" s="33"/>
      <c r="F21" s="33"/>
      <c r="G21" s="33"/>
      <c r="H21" s="33"/>
      <c r="I21" s="6"/>
    </row>
    <row r="22" spans="1:9" x14ac:dyDescent="0.25">
      <c r="A22" s="48" t="str" cm="1">
        <f t="array" ref="A22">_xlfn.LET(_xlpm.sel,_xlfn._xlws.FILTER(tblRecords[military_evaluation_bullet]&amp;" | Metrics: "&amp;tblRecords[quantifiable_metrics]&amp;" | Civilian skills: "&amp;tblRecords[civilian_skills_translated]&amp;" | Keywords: "&amp;tblRecords[target_keywords]&amp;" | Service: "&amp;tblRecords[service_branch]&amp;" | Career path: "&amp;tblRecords[career_path]&amp;" | Role family: "&amp;tblRecords[job_role_family],(tblRecords[include_in_output]="Yes")*(tblRecords[pii_status]="Clear"),"No PII-cleared records are selected."),_xlpm.inst,_xlfn.XLOOKUP(B6,tblPrompts[output_type],tblPrompts[prompt_instructions],""),"Act as an expert all-service military-to-civilian transition writer."&amp;CHAR(10)&amp;CHAR(10)&amp;"OUTPUT: "&amp;B6&amp;" ("&amp;B7&amp;")"&amp;CHAR(10)&amp;"AUDIENCE: "&amp;IF(B8="","Not specified",B8)&amp;CHAR(10)&amp;"TONE: "&amp;B9&amp;CHAR(10)&amp;"LENGTH: "&amp;B10&amp;CHAR(10)&amp;"JOB URL / ROLE FAMILY: "&amp;IF(B11="","Not specified",B11)&amp;CHAR(10)&amp;CHAR(10)&amp;"INSTRUCTIONS: "&amp;_xlpm.inst&amp;" Translate terminology according to each record's service branch. Remove or generalize military jargon, preserve measurable facts, do not invent credentials or PII, and identify missing information with brackets."&amp;CHAR(10)&amp;CHAR(10)&amp;"SELECTED ACCOMPLISHMENTS:"&amp;CHAR(10)&amp;_xlfn.TEXTJOIN(CHAR(10),TRUE,"• "&amp;_xlpm.sel)&amp;CHAR(10)&amp;CHAR(10)&amp;"TARGET OPPORTUNITY / REQUEST:"&amp;CHAR(10)&amp;IF(A13="","[No target requirements pasted]",A13))</f>
        <v>Act as an expert all-service military-to-civilian transition writer.
OUTPUT: ATS-Optimized Civilian Resume (Employment)
AUDIENCE: Not specified
TONE: Professional
LENGTH: 1–2 pages
JOB URL / ROLE FAMILY: Not specified
INSTRUCTIONS: Act as an expert military-to-civilian transition coach and corporate Applicant Tracking System optimization specialist. Create a polished civilian resume using only the selected evidence and pasted target job description. Demilitarize all ranks, acronyms, unit terms, and operational language into corporate equivalents. Identify and naturally weave in the job description's exact high-priority hard skills, software, and competencies. Write achievement bullets using the X-Y-Z structure: accomplished X, measured by Y, by doing Z. Translate personnel, asset, budget, readiness, and mission scope into business value such as efficiency, savings, risk reduction, quality, availability, or delivery. Use clean Markdown sections: Summary, Core Competencies, Professional Experience, and Education. Do not use tables, graphics, columns, keyword stuffing, or invented facts; place missing factual details in brackets. Translate terminology according to each record's service branch. Remove or generalize military jargon, preserve measurable facts, do not invent credentials or PII, and identify missing information with brackets.
SELECTED ACCOMPLISHMENTS:
• Led a 12-person logistics team supporting time-sensitive operations across multiple sites. | Metrics: Improved on-time delivery from 82% to 96%; managed $4.2M in equipment. | Civilian skills: Operations leadership; supply-chain coordination; asset accountability | Keywords: operations; logistics; team leadership; process improvement | Service: Army | Career path: Logistics | Role family: Supply Chain / Logistics Management
• Redesigned the maintenance scheduling process to prioritize critical assets and remove workflow bottlenecks. | Metrics: Reduced backlog 38% in 90 days; increased readiness by 17 percentage points. | Civilian skills: Process improvement; maintenance operations; resource prioritization | Keywords: continuous improvement; maintenance; analytics; readiness | Service: Army | Career path: Operations | Role family: Operations / Maintenance Management
TARGET OPPORTUNITY / REQUEST:
[No target requirements pasted]</v>
      </c>
      <c r="B22" s="48"/>
      <c r="C22" s="48"/>
      <c r="D22" s="48"/>
      <c r="E22" s="48"/>
      <c r="F22" s="48"/>
      <c r="G22" s="48"/>
      <c r="H22" s="48"/>
      <c r="I22" s="6"/>
    </row>
    <row r="23" spans="1:9" x14ac:dyDescent="0.25">
      <c r="A23" s="48"/>
      <c r="B23" s="48"/>
      <c r="C23" s="48"/>
      <c r="D23" s="48"/>
      <c r="E23" s="48"/>
      <c r="F23" s="48"/>
      <c r="G23" s="48"/>
      <c r="H23" s="48"/>
      <c r="I23" s="6"/>
    </row>
    <row r="24" spans="1:9" x14ac:dyDescent="0.25">
      <c r="A24" s="48"/>
      <c r="B24" s="48"/>
      <c r="C24" s="48"/>
      <c r="D24" s="48"/>
      <c r="E24" s="48"/>
      <c r="F24" s="48"/>
      <c r="G24" s="48"/>
      <c r="H24" s="48"/>
      <c r="I24" s="6"/>
    </row>
    <row r="25" spans="1:9" x14ac:dyDescent="0.25">
      <c r="A25" s="48"/>
      <c r="B25" s="48"/>
      <c r="C25" s="48"/>
      <c r="D25" s="48"/>
      <c r="E25" s="48"/>
      <c r="F25" s="48"/>
      <c r="G25" s="48"/>
      <c r="H25" s="48"/>
      <c r="I25" s="6"/>
    </row>
    <row r="26" spans="1:9" x14ac:dyDescent="0.25">
      <c r="A26" s="48"/>
      <c r="B26" s="48"/>
      <c r="C26" s="48"/>
      <c r="D26" s="48"/>
      <c r="E26" s="48"/>
      <c r="F26" s="48"/>
      <c r="G26" s="48"/>
      <c r="H26" s="48"/>
      <c r="I26" s="6"/>
    </row>
    <row r="27" spans="1:9" x14ac:dyDescent="0.25">
      <c r="A27" s="48"/>
      <c r="B27" s="48"/>
      <c r="C27" s="48"/>
      <c r="D27" s="48"/>
      <c r="E27" s="48"/>
      <c r="F27" s="48"/>
      <c r="G27" s="48"/>
      <c r="H27" s="48"/>
      <c r="I27" s="6"/>
    </row>
    <row r="28" spans="1:9" x14ac:dyDescent="0.25">
      <c r="A28" s="48"/>
      <c r="B28" s="48"/>
      <c r="C28" s="48"/>
      <c r="D28" s="48"/>
      <c r="E28" s="48"/>
      <c r="F28" s="48"/>
      <c r="G28" s="48"/>
      <c r="H28" s="48"/>
      <c r="I28" s="6"/>
    </row>
    <row r="29" spans="1:9" x14ac:dyDescent="0.25">
      <c r="A29" s="48"/>
      <c r="B29" s="48"/>
      <c r="C29" s="48"/>
      <c r="D29" s="48"/>
      <c r="E29" s="48"/>
      <c r="F29" s="48"/>
      <c r="G29" s="48"/>
      <c r="H29" s="48"/>
      <c r="I29" s="6"/>
    </row>
    <row r="30" spans="1:9" x14ac:dyDescent="0.25">
      <c r="A30" s="48"/>
      <c r="B30" s="48"/>
      <c r="C30" s="48"/>
      <c r="D30" s="48"/>
      <c r="E30" s="48"/>
      <c r="F30" s="48"/>
      <c r="G30" s="48"/>
      <c r="H30" s="48"/>
      <c r="I30" s="6"/>
    </row>
    <row r="31" spans="1:9" x14ac:dyDescent="0.25">
      <c r="A31" s="48"/>
      <c r="B31" s="48"/>
      <c r="C31" s="48"/>
      <c r="D31" s="48"/>
      <c r="E31" s="48"/>
      <c r="F31" s="48"/>
      <c r="G31" s="48"/>
      <c r="H31" s="48"/>
      <c r="I31" s="6"/>
    </row>
    <row r="32" spans="1:9" x14ac:dyDescent="0.25">
      <c r="A32" s="48"/>
      <c r="B32" s="48"/>
      <c r="C32" s="48"/>
      <c r="D32" s="48"/>
      <c r="E32" s="48"/>
      <c r="F32" s="48"/>
      <c r="G32" s="48"/>
      <c r="H32" s="48"/>
      <c r="I32" s="6"/>
    </row>
    <row r="33" spans="1:9" x14ac:dyDescent="0.25">
      <c r="A33" s="48"/>
      <c r="B33" s="48"/>
      <c r="C33" s="48"/>
      <c r="D33" s="48"/>
      <c r="E33" s="48"/>
      <c r="F33" s="48"/>
      <c r="G33" s="48"/>
      <c r="H33" s="48"/>
      <c r="I33" s="6"/>
    </row>
    <row r="34" spans="1:9" x14ac:dyDescent="0.25">
      <c r="A34" s="48"/>
      <c r="B34" s="48"/>
      <c r="C34" s="48"/>
      <c r="D34" s="48"/>
      <c r="E34" s="48"/>
      <c r="F34" s="48"/>
      <c r="G34" s="48"/>
      <c r="H34" s="48"/>
      <c r="I34" s="6"/>
    </row>
    <row r="35" spans="1:9" x14ac:dyDescent="0.25">
      <c r="A35" s="48"/>
      <c r="B35" s="48"/>
      <c r="C35" s="48"/>
      <c r="D35" s="48"/>
      <c r="E35" s="48"/>
      <c r="F35" s="48"/>
      <c r="G35" s="48"/>
      <c r="H35" s="48"/>
      <c r="I35" s="6"/>
    </row>
    <row r="36" spans="1:9" x14ac:dyDescent="0.25">
      <c r="A36" s="48"/>
      <c r="B36" s="48"/>
      <c r="C36" s="48"/>
      <c r="D36" s="48"/>
      <c r="E36" s="48"/>
      <c r="F36" s="48"/>
      <c r="G36" s="48"/>
      <c r="H36" s="48"/>
      <c r="I36" s="6"/>
    </row>
    <row r="37" spans="1:9" x14ac:dyDescent="0.25">
      <c r="A37" s="48"/>
      <c r="B37" s="48"/>
      <c r="C37" s="48"/>
      <c r="D37" s="48"/>
      <c r="E37" s="48"/>
      <c r="F37" s="48"/>
      <c r="G37" s="48"/>
      <c r="H37" s="48"/>
      <c r="I37" s="6"/>
    </row>
    <row r="38" spans="1:9" x14ac:dyDescent="0.25">
      <c r="A38" s="48"/>
      <c r="B38" s="48"/>
      <c r="C38" s="48"/>
      <c r="D38" s="48"/>
      <c r="E38" s="48"/>
      <c r="F38" s="48"/>
      <c r="G38" s="48"/>
      <c r="H38" s="48"/>
      <c r="I38" s="6"/>
    </row>
    <row r="39" spans="1:9" x14ac:dyDescent="0.25">
      <c r="A39" s="7"/>
      <c r="B39" s="7"/>
      <c r="C39" s="7"/>
      <c r="D39" s="7"/>
      <c r="E39" s="7"/>
      <c r="F39" s="7"/>
      <c r="G39" s="7"/>
      <c r="H39" s="7"/>
      <c r="I39" s="6"/>
    </row>
    <row r="40" spans="1:9" x14ac:dyDescent="0.25">
      <c r="A40" s="29" t="s">
        <v>117</v>
      </c>
      <c r="B40" s="29"/>
      <c r="C40" s="29"/>
      <c r="D40" s="29"/>
      <c r="E40" s="29"/>
      <c r="F40" s="29"/>
      <c r="G40" s="29"/>
      <c r="H40" s="29"/>
      <c r="I40" s="6"/>
    </row>
    <row r="41" spans="1:9" x14ac:dyDescent="0.25">
      <c r="A41" s="29"/>
      <c r="B41" s="29"/>
      <c r="C41" s="29"/>
      <c r="D41" s="29"/>
      <c r="E41" s="29"/>
      <c r="F41" s="29"/>
      <c r="G41" s="29"/>
      <c r="H41" s="29"/>
      <c r="I41" s="6"/>
    </row>
    <row r="42" spans="1:9" x14ac:dyDescent="0.25">
      <c r="A42" s="6"/>
      <c r="B42" s="6"/>
      <c r="C42" s="6"/>
      <c r="D42" s="6"/>
      <c r="E42" s="6"/>
      <c r="F42" s="6"/>
      <c r="G42" s="6"/>
      <c r="H42" s="6"/>
      <c r="I42" s="6"/>
    </row>
  </sheetData>
  <mergeCells count="15">
    <mergeCell ref="B8:D8"/>
    <mergeCell ref="A1:H1"/>
    <mergeCell ref="A2:H2"/>
    <mergeCell ref="A4:H4"/>
    <mergeCell ref="B6:D6"/>
    <mergeCell ref="B7:D7"/>
    <mergeCell ref="A40:H41"/>
    <mergeCell ref="B11:H11"/>
    <mergeCell ref="A20:H20"/>
    <mergeCell ref="B9:D9"/>
    <mergeCell ref="B10:D10"/>
    <mergeCell ref="A12:H12"/>
    <mergeCell ref="A13:H19"/>
    <mergeCell ref="A21:H21"/>
    <mergeCell ref="A22:H38"/>
  </mergeCells>
  <dataValidations count="2">
    <dataValidation type="list" allowBlank="1" showInputMessage="1" showErrorMessage="1" sqref="B6" xr:uid="{ED64EFC0-496A-4B64-9100-78363DFBCFCD}">
      <formula1>"ATS-Optimized Civilian Resume,Federal Resume Content,Cover Letter,Application Questions,Statement of Purpose,Scholarship Essay,Educational Request Letter,Professional Bio,Memorandum / Official Letter,Recommendation Support Package"</formula1>
    </dataValidation>
    <dataValidation type="list" allowBlank="1" showInputMessage="1" showErrorMessage="1" sqref="B9" xr:uid="{187C7524-88D8-4562-823E-F23652AB6E6E}">
      <formula1>"Professional,Executive,Conversational,Formal,Academic,Concise"</formula1>
    </dataValidation>
  </dataValidation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313D7-6DD8-4ABA-96B9-D0855B21DC50}">
  <sheetPr>
    <tabColor rgb="FFA56700"/>
  </sheetPr>
  <dimension ref="A1:H27"/>
  <sheetViews>
    <sheetView workbookViewId="0">
      <selection sqref="A1:M1"/>
    </sheetView>
  </sheetViews>
  <sheetFormatPr defaultRowHeight="15" x14ac:dyDescent="0.25"/>
  <cols>
    <col min="1" max="1" width="28.5703125" customWidth="1"/>
    <col min="2" max="2" width="20" customWidth="1"/>
    <col min="3" max="3" width="17.140625" customWidth="1"/>
    <col min="4" max="4" width="15.28515625" customWidth="1"/>
    <col min="5" max="5" width="41.85546875" customWidth="1"/>
    <col min="6" max="6" width="19" customWidth="1"/>
    <col min="7" max="8" width="17.140625" customWidth="1"/>
  </cols>
  <sheetData>
    <row r="1" spans="1:8" ht="32.1" customHeight="1" x14ac:dyDescent="0.25">
      <c r="A1" s="31" t="s">
        <v>209</v>
      </c>
      <c r="B1" s="31"/>
      <c r="C1" s="31"/>
      <c r="D1" s="31"/>
      <c r="E1" s="31"/>
      <c r="F1" s="31"/>
      <c r="G1" s="31"/>
      <c r="H1" s="31"/>
    </row>
    <row r="2" spans="1:8" ht="21.95" customHeight="1" x14ac:dyDescent="0.25">
      <c r="A2" s="37" t="s">
        <v>210</v>
      </c>
      <c r="B2" s="37"/>
      <c r="C2" s="37"/>
      <c r="D2" s="37"/>
      <c r="E2" s="37"/>
      <c r="F2" s="37"/>
      <c r="G2" s="37"/>
      <c r="H2" s="37"/>
    </row>
    <row r="3" spans="1:8" x14ac:dyDescent="0.25">
      <c r="A3" s="2"/>
      <c r="B3" s="2"/>
      <c r="C3" s="2"/>
      <c r="D3" s="2"/>
      <c r="E3" s="2"/>
      <c r="F3" s="2"/>
      <c r="G3" s="2"/>
      <c r="H3" s="2"/>
    </row>
    <row r="4" spans="1:8" x14ac:dyDescent="0.25">
      <c r="A4" s="34" t="s">
        <v>211</v>
      </c>
      <c r="B4" s="34"/>
      <c r="C4" s="34"/>
      <c r="D4" s="34"/>
      <c r="E4" s="34"/>
      <c r="F4" s="34"/>
      <c r="G4" s="34"/>
      <c r="H4" s="34"/>
    </row>
    <row r="5" spans="1:8" x14ac:dyDescent="0.25">
      <c r="A5" s="2"/>
      <c r="B5" s="2"/>
      <c r="C5" s="2"/>
      <c r="D5" s="2"/>
      <c r="E5" s="2"/>
      <c r="F5" s="2"/>
      <c r="G5" s="2"/>
      <c r="H5" s="2"/>
    </row>
    <row r="6" spans="1:8" x14ac:dyDescent="0.25">
      <c r="A6" s="4" t="s">
        <v>121</v>
      </c>
      <c r="B6" s="35" t="s">
        <v>127</v>
      </c>
      <c r="C6" s="35"/>
      <c r="D6" s="35"/>
      <c r="E6" s="35"/>
      <c r="F6" s="35"/>
      <c r="G6" s="35"/>
      <c r="H6" s="35"/>
    </row>
    <row r="7" spans="1:8" x14ac:dyDescent="0.25">
      <c r="A7" s="4" t="s">
        <v>122</v>
      </c>
      <c r="B7" s="35" t="str">
        <f>IFERROR(_xlfn.XLOOKUP(B6,tblCareerSkills[career_path],tblCareerSkills[role_family]),"")</f>
        <v>Program / Project Management</v>
      </c>
      <c r="C7" s="35"/>
      <c r="D7" s="35"/>
      <c r="E7" s="35"/>
      <c r="F7" s="35"/>
      <c r="G7" s="35"/>
      <c r="H7" s="35"/>
    </row>
    <row r="8" spans="1:8" x14ac:dyDescent="0.25">
      <c r="A8" s="4" t="s">
        <v>123</v>
      </c>
      <c r="B8" s="35"/>
      <c r="C8" s="35"/>
      <c r="D8" s="35"/>
      <c r="E8" s="35"/>
      <c r="F8" s="35"/>
      <c r="G8" s="35"/>
      <c r="H8" s="35"/>
    </row>
    <row r="9" spans="1:8" x14ac:dyDescent="0.25">
      <c r="A9" s="4" t="s">
        <v>212</v>
      </c>
      <c r="B9" s="35"/>
      <c r="C9" s="35"/>
      <c r="D9" s="35"/>
      <c r="E9" s="35"/>
      <c r="F9" s="35"/>
      <c r="G9" s="35"/>
      <c r="H9" s="35"/>
    </row>
    <row r="10" spans="1:8" x14ac:dyDescent="0.25">
      <c r="A10" s="2"/>
      <c r="B10" s="2"/>
      <c r="C10" s="2"/>
      <c r="D10" s="2"/>
      <c r="E10" s="2"/>
      <c r="F10" s="2"/>
      <c r="G10" s="2"/>
      <c r="H10" s="2"/>
    </row>
    <row r="11" spans="1:8" x14ac:dyDescent="0.25">
      <c r="A11" s="34" t="s">
        <v>213</v>
      </c>
      <c r="B11" s="34"/>
      <c r="C11" s="34"/>
      <c r="D11" s="34"/>
      <c r="E11" s="34"/>
      <c r="F11" s="34"/>
      <c r="G11" s="34"/>
      <c r="H11" s="34"/>
    </row>
    <row r="12" spans="1:8" x14ac:dyDescent="0.25">
      <c r="A12" s="35"/>
      <c r="B12" s="35"/>
      <c r="C12" s="35"/>
      <c r="D12" s="35"/>
      <c r="E12" s="35"/>
      <c r="F12" s="35"/>
      <c r="G12" s="35"/>
      <c r="H12" s="35"/>
    </row>
    <row r="13" spans="1:8" x14ac:dyDescent="0.25">
      <c r="A13" s="35"/>
      <c r="B13" s="35"/>
      <c r="C13" s="35"/>
      <c r="D13" s="35"/>
      <c r="E13" s="35"/>
      <c r="F13" s="35"/>
      <c r="G13" s="35"/>
      <c r="H13" s="35"/>
    </row>
    <row r="14" spans="1:8" x14ac:dyDescent="0.25">
      <c r="A14" s="35"/>
      <c r="B14" s="35"/>
      <c r="C14" s="35"/>
      <c r="D14" s="35"/>
      <c r="E14" s="35"/>
      <c r="F14" s="35"/>
      <c r="G14" s="35"/>
      <c r="H14" s="35"/>
    </row>
    <row r="15" spans="1:8" x14ac:dyDescent="0.25">
      <c r="A15" s="35"/>
      <c r="B15" s="35"/>
      <c r="C15" s="35"/>
      <c r="D15" s="35"/>
      <c r="E15" s="35"/>
      <c r="F15" s="35"/>
      <c r="G15" s="35"/>
      <c r="H15" s="35"/>
    </row>
    <row r="16" spans="1:8" x14ac:dyDescent="0.25">
      <c r="A16" s="35"/>
      <c r="B16" s="35"/>
      <c r="C16" s="35"/>
      <c r="D16" s="35"/>
      <c r="E16" s="35"/>
      <c r="F16" s="35"/>
      <c r="G16" s="35"/>
      <c r="H16" s="35"/>
    </row>
    <row r="17" spans="1:8" x14ac:dyDescent="0.25">
      <c r="A17" s="47" t="s">
        <v>335</v>
      </c>
      <c r="B17" s="47"/>
      <c r="C17" s="47"/>
      <c r="D17" s="47"/>
      <c r="E17" s="47"/>
      <c r="F17" s="47"/>
      <c r="G17" s="47"/>
      <c r="H17" s="47"/>
    </row>
    <row r="18" spans="1:8" x14ac:dyDescent="0.25">
      <c r="A18" s="34" t="s">
        <v>214</v>
      </c>
      <c r="B18" s="34"/>
      <c r="C18" s="34"/>
      <c r="D18" s="34"/>
      <c r="E18" s="34"/>
      <c r="F18" s="34"/>
      <c r="G18" s="34"/>
      <c r="H18" s="34"/>
    </row>
    <row r="19" spans="1:8" x14ac:dyDescent="0.25">
      <c r="A19" s="16" t="s">
        <v>215</v>
      </c>
      <c r="B19" s="16" t="s">
        <v>216</v>
      </c>
      <c r="C19" s="16" t="s">
        <v>217</v>
      </c>
      <c r="D19" s="16" t="s">
        <v>131</v>
      </c>
      <c r="E19" s="16" t="s">
        <v>218</v>
      </c>
      <c r="F19" s="20" t="s">
        <v>338</v>
      </c>
      <c r="G19" s="49" t="s">
        <v>219</v>
      </c>
      <c r="H19" s="49"/>
    </row>
    <row r="20" spans="1:8" x14ac:dyDescent="0.25">
      <c r="A20" s="3" t="str" cm="1">
        <f t="array" ref="A20:A25">_xlfn._xlws.FILTER(tblCareerSkills[skill_name],tblCareerSkills[career_path]=B6,"")</f>
        <v>Project planning</v>
      </c>
      <c r="B20" s="3" t="str" cm="1">
        <f t="array" ref="B20:B25">_xlfn.MAP(_xlfn.ANCHORARRAY(C20),_xlfn.LAMBDA(_xlpm.n,IF(_xlpm.n&gt;0,"Covered","Gap")))</f>
        <v>Covered</v>
      </c>
      <c r="C20" s="3" cm="1">
        <f t="array" ref="C20:C25">_xlfn.MAP(_xlfn.ANCHORARRAY(A20),_xlfn.LAMBDA(_xlpm.s,_xlfn.LET(_xlpm.k,_xlfn.XLOOKUP(_xlpm.s,tblCareerSkills[skill_name],tblCareerSkills[keyword_variants],_xlpm.s),_xlpm.terms,TRIM(_xlfn.TEXTSPLIT(_xlpm.k,";")),_xlpm.e,_xlfn._xlws.FILTER(tblRecords[civilian_skills_translated]&amp;" "&amp;tblRecords[target_keywords]&amp;" "&amp;tblRecords[military_evaluation_bullet]&amp;" "&amp;tblRecords[quantifiable_metrics]&amp;" "&amp;tblRecords[service_terms_acronyms],tblRecords[pii_status]="Clear",""),SUM(--_xlfn.BYROW(_xlpm.e,_xlfn.LAMBDA(_xlpm.x,SUM(--ISNUMBER(SEARCH(_xlpm.terms,_xlpm.x)))&gt;0))))))</f>
        <v>1</v>
      </c>
      <c r="D20" s="3" t="str" cm="1">
        <f t="array" ref="D20:D25">_xlfn._xlws.FILTER(tblCareerSkills[priority],tblCareerSkills[career_path]=B6,"")</f>
        <v>High</v>
      </c>
      <c r="E20" s="3" t="str" cm="1">
        <f t="array" ref="E20:E25">_xlfn.MAP(_xlfn.ANCHORARRAY(A20),_xlfn.ANCHORARRAY(B20),_xlfn.ANCHORARRAY(F20),_xlfn.LAMBDA(_xlpm.s,_xlpm.st,_xlpm.j,IF(_xlpm.st="Gap",IF(_xlpm.j="Yes","High-priority evidence gap for "&amp;_xlpm.s,"Add a PII-free accomplishment proving "&amp;_xlpm.s),IF(_xlpm.j="Yes","Use the strongest quantified example","Optional supporting evidence"))))</f>
        <v>Optional supporting evidence</v>
      </c>
      <c r="F20" s="3" t="str" cm="1">
        <f t="array" ref="F20:F25">_xlfn.MAP(_xlfn.ANCHORARRAY(A20),_xlfn.LAMBDA(_xlpm.s,_xlfn.LET(_xlpm.k,_xlfn.XLOOKUP(_xlpm.s,tblCareerSkills[skill_name],tblCareerSkills[keyword_variants],_xlpm.s),_xlpm.terms,TRIM(_xlfn.TEXTSPLIT(_xlpm.k,";")),_xlpm.job,$A$12&amp;" "&amp;$B$9,IF(TRIM(_xlpm.job)="","Not assessed",IF(SUM(--ISNUMBER(SEARCH(_xlpm.terms,_xlpm.job)))&gt;0,"Yes","No")))))</f>
        <v>Not assessed</v>
      </c>
      <c r="G20" s="5" t="s">
        <v>220</v>
      </c>
      <c r="H20" s="3">
        <f>COUNTIF(_xlfn.ANCHORARRAY(B20),"Covered")</f>
        <v>4</v>
      </c>
    </row>
    <row r="21" spans="1:8" x14ac:dyDescent="0.25">
      <c r="A21" s="3" t="str">
        <v>Stakeholder management</v>
      </c>
      <c r="B21" s="3" t="str">
        <v>Covered</v>
      </c>
      <c r="C21" s="3">
        <v>2</v>
      </c>
      <c r="D21" s="3" t="str">
        <v>High</v>
      </c>
      <c r="E21" s="3" t="str">
        <v>Optional supporting evidence</v>
      </c>
      <c r="F21" s="3" t="str">
        <v>Not assessed</v>
      </c>
      <c r="G21" s="5" t="s">
        <v>221</v>
      </c>
      <c r="H21" s="3">
        <f>COUNTIF(_xlfn.ANCHORARRAY(B20),"Gap")</f>
        <v>2</v>
      </c>
    </row>
    <row r="22" spans="1:8" ht="27" x14ac:dyDescent="0.25">
      <c r="A22" s="3" t="str">
        <v>Risk management</v>
      </c>
      <c r="B22" s="3" t="str">
        <v>Gap</v>
      </c>
      <c r="C22" s="3">
        <v>0</v>
      </c>
      <c r="D22" s="3" t="str">
        <v>High</v>
      </c>
      <c r="E22" s="3" t="str">
        <v>Add a PII-free accomplishment proving Risk management</v>
      </c>
      <c r="F22" s="3" t="str">
        <v>Not assessed</v>
      </c>
      <c r="G22" s="5" t="s">
        <v>222</v>
      </c>
      <c r="H22" s="21">
        <f>IFERROR(H20/(H20+H21),0)</f>
        <v>0.66666666666666663</v>
      </c>
    </row>
    <row r="23" spans="1:8" ht="27" x14ac:dyDescent="0.25">
      <c r="A23" s="3" t="str">
        <v>Budget management</v>
      </c>
      <c r="B23" s="3" t="str">
        <v>Gap</v>
      </c>
      <c r="C23" s="3">
        <v>0</v>
      </c>
      <c r="D23" s="3" t="str">
        <v>Medium</v>
      </c>
      <c r="E23" s="3" t="str">
        <v>Add a PII-free accomplishment proving Budget management</v>
      </c>
      <c r="F23" s="3" t="str">
        <v>Not assessed</v>
      </c>
      <c r="G23" s="3"/>
      <c r="H23" s="3"/>
    </row>
    <row r="24" spans="1:8" x14ac:dyDescent="0.25">
      <c r="A24" s="3" t="str">
        <v>Process improvement</v>
      </c>
      <c r="B24" s="3" t="str">
        <v>Covered</v>
      </c>
      <c r="C24" s="3">
        <v>2</v>
      </c>
      <c r="D24" s="3" t="str">
        <v>High</v>
      </c>
      <c r="E24" s="3" t="str">
        <v>Optional supporting evidence</v>
      </c>
      <c r="F24" s="3" t="str">
        <v>Not assessed</v>
      </c>
      <c r="G24" s="3"/>
      <c r="H24" s="3"/>
    </row>
    <row r="25" spans="1:8" x14ac:dyDescent="0.25">
      <c r="A25" s="3" t="str">
        <v>Team leadership</v>
      </c>
      <c r="B25" s="3" t="str">
        <v>Covered</v>
      </c>
      <c r="C25" s="3">
        <v>2</v>
      </c>
      <c r="D25" s="3" t="str">
        <v>High</v>
      </c>
      <c r="E25" s="3" t="str">
        <v>Optional supporting evidence</v>
      </c>
      <c r="F25" s="3" t="str">
        <v>Not assessed</v>
      </c>
      <c r="G25" s="3"/>
      <c r="H25" s="3"/>
    </row>
    <row r="26" spans="1:8" x14ac:dyDescent="0.25">
      <c r="A26" s="1"/>
      <c r="B26" s="1"/>
      <c r="C26" s="1"/>
      <c r="D26" s="1"/>
      <c r="E26" s="1"/>
      <c r="F26" s="1"/>
      <c r="G26" s="1"/>
      <c r="H26" s="1"/>
    </row>
    <row r="27" spans="1:8" x14ac:dyDescent="0.25">
      <c r="A27" s="1"/>
      <c r="B27" s="1"/>
      <c r="C27" s="1"/>
      <c r="D27" s="1"/>
      <c r="E27" s="1"/>
      <c r="F27" s="1"/>
      <c r="G27" s="1"/>
      <c r="H27" s="1"/>
    </row>
  </sheetData>
  <mergeCells count="12">
    <mergeCell ref="B8:H8"/>
    <mergeCell ref="A1:H1"/>
    <mergeCell ref="A2:H2"/>
    <mergeCell ref="A4:H4"/>
    <mergeCell ref="B6:H6"/>
    <mergeCell ref="B7:H7"/>
    <mergeCell ref="B9:H9"/>
    <mergeCell ref="A11:H11"/>
    <mergeCell ref="A12:H16"/>
    <mergeCell ref="A18:H18"/>
    <mergeCell ref="G19:H19"/>
    <mergeCell ref="A17:H17"/>
  </mergeCells>
  <conditionalFormatting sqref="B20:B27">
    <cfRule type="expression" dxfId="1" priority="1">
      <formula>B20="Covered"</formula>
    </cfRule>
    <cfRule type="expression" dxfId="0" priority="2">
      <formula>B20="Gap"</formula>
    </cfRule>
  </conditionalFormatting>
  <dataValidations count="1">
    <dataValidation type="list" allowBlank="1" showInputMessage="1" showErrorMessage="1" sqref="B6" xr:uid="{7A0AF47D-0975-4AAD-AE29-306BDBB27500}">
      <formula1>"Project Management,Operations,IT/Cybersecurity,Logistics"</formula1>
    </dataValidation>
  </dataValidation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45BEF1-809E-4C39-BA32-90AB0D9197C9}">
  <sheetPr>
    <tabColor rgb="FF6941C6"/>
  </sheetPr>
  <dimension ref="A1:P5"/>
  <sheetViews>
    <sheetView workbookViewId="0">
      <selection sqref="A1:P1"/>
    </sheetView>
  </sheetViews>
  <sheetFormatPr defaultRowHeight="15" x14ac:dyDescent="0.25"/>
  <cols>
    <col min="1" max="1" width="11.28515625" bestFit="1" customWidth="1"/>
    <col min="2" max="2" width="14" bestFit="1" customWidth="1"/>
    <col min="3" max="3" width="14.42578125" bestFit="1" customWidth="1"/>
    <col min="4" max="4" width="13.42578125" bestFit="1" customWidth="1"/>
    <col min="5" max="5" width="18.140625" bestFit="1" customWidth="1"/>
    <col min="6" max="6" width="48.7109375" bestFit="1" customWidth="1"/>
    <col min="7" max="7" width="32.85546875" bestFit="1" customWidth="1"/>
    <col min="8" max="8" width="28.28515625" bestFit="1" customWidth="1"/>
    <col min="9" max="9" width="36.140625" customWidth="1"/>
    <col min="10" max="10" width="32.42578125" customWidth="1"/>
    <col min="11" max="11" width="11.7109375" bestFit="1" customWidth="1"/>
    <col min="12" max="12" width="30.42578125" bestFit="1" customWidth="1"/>
    <col min="13" max="13" width="17.85546875" bestFit="1" customWidth="1"/>
    <col min="14" max="14" width="33.28515625" bestFit="1" customWidth="1"/>
    <col min="15" max="15" width="18.28515625" bestFit="1" customWidth="1"/>
    <col min="16" max="16" width="16.42578125" bestFit="1" customWidth="1"/>
  </cols>
  <sheetData>
    <row r="1" spans="1:16" ht="27.75" thickBot="1" x14ac:dyDescent="0.3">
      <c r="A1" s="13" t="s">
        <v>369</v>
      </c>
      <c r="B1" s="13" t="s">
        <v>370</v>
      </c>
      <c r="C1" s="13" t="s">
        <v>371</v>
      </c>
      <c r="D1" s="13" t="s">
        <v>372</v>
      </c>
      <c r="E1" s="13" t="s">
        <v>373</v>
      </c>
      <c r="F1" s="13" t="s">
        <v>374</v>
      </c>
      <c r="G1" s="13" t="s">
        <v>375</v>
      </c>
      <c r="H1" s="13" t="s">
        <v>376</v>
      </c>
      <c r="I1" s="13" t="s">
        <v>377</v>
      </c>
      <c r="J1" s="13" t="s">
        <v>378</v>
      </c>
      <c r="K1" s="13" t="s">
        <v>379</v>
      </c>
      <c r="L1" s="13" t="s">
        <v>380</v>
      </c>
      <c r="M1" s="13" t="s">
        <v>381</v>
      </c>
      <c r="N1" s="13" t="s">
        <v>382</v>
      </c>
      <c r="O1" s="13" t="s">
        <v>383</v>
      </c>
      <c r="P1" s="13" t="s">
        <v>384</v>
      </c>
    </row>
    <row r="2" spans="1:16" ht="40.5" x14ac:dyDescent="0.25">
      <c r="A2" s="10" t="s">
        <v>30</v>
      </c>
      <c r="B2" s="10" t="s">
        <v>19</v>
      </c>
      <c r="C2" s="10" t="s">
        <v>21</v>
      </c>
      <c r="D2" s="10" t="s">
        <v>31</v>
      </c>
      <c r="E2" s="10" t="s">
        <v>24</v>
      </c>
      <c r="F2" s="10" t="s">
        <v>32</v>
      </c>
      <c r="G2" s="10" t="s">
        <v>33</v>
      </c>
      <c r="H2" s="10" t="s">
        <v>34</v>
      </c>
      <c r="I2" s="10" t="s">
        <v>35</v>
      </c>
      <c r="J2" s="10" t="s">
        <v>36</v>
      </c>
      <c r="K2" s="14" t="s">
        <v>37</v>
      </c>
      <c r="L2" s="10" t="s">
        <v>1119</v>
      </c>
      <c r="M2" s="10" t="s">
        <v>124</v>
      </c>
      <c r="N2" s="10" t="s">
        <v>125</v>
      </c>
      <c r="O2" s="10" t="s">
        <v>1120</v>
      </c>
      <c r="P2" s="10" t="s">
        <v>236</v>
      </c>
    </row>
    <row r="3" spans="1:16" ht="40.5" x14ac:dyDescent="0.25">
      <c r="A3" s="11" t="s">
        <v>38</v>
      </c>
      <c r="B3" s="11" t="s">
        <v>19</v>
      </c>
      <c r="C3" s="11" t="s">
        <v>39</v>
      </c>
      <c r="D3" s="11" t="s">
        <v>40</v>
      </c>
      <c r="E3" s="11" t="s">
        <v>41</v>
      </c>
      <c r="F3" s="11" t="s">
        <v>42</v>
      </c>
      <c r="G3" s="11" t="s">
        <v>43</v>
      </c>
      <c r="H3" s="11" t="s">
        <v>44</v>
      </c>
      <c r="I3" s="11" t="s">
        <v>45</v>
      </c>
      <c r="J3" s="11" t="s">
        <v>46</v>
      </c>
      <c r="K3" s="15" t="s">
        <v>37</v>
      </c>
      <c r="L3" s="11" t="s">
        <v>1119</v>
      </c>
      <c r="M3" s="10" t="s">
        <v>107</v>
      </c>
      <c r="N3" s="10" t="s">
        <v>126</v>
      </c>
      <c r="O3" s="10" t="s">
        <v>1120</v>
      </c>
      <c r="P3" s="10" t="s">
        <v>236</v>
      </c>
    </row>
    <row r="4" spans="1:16" ht="40.5" x14ac:dyDescent="0.25">
      <c r="A4" s="10" t="s">
        <v>47</v>
      </c>
      <c r="B4" s="10" t="s">
        <v>48</v>
      </c>
      <c r="C4" s="10" t="s">
        <v>49</v>
      </c>
      <c r="D4" s="10" t="s">
        <v>50</v>
      </c>
      <c r="E4" s="10" t="s">
        <v>51</v>
      </c>
      <c r="F4" s="10" t="s">
        <v>52</v>
      </c>
      <c r="G4" s="10" t="s">
        <v>53</v>
      </c>
      <c r="H4" s="10" t="s">
        <v>54</v>
      </c>
      <c r="I4" s="10" t="s">
        <v>55</v>
      </c>
      <c r="J4" s="10" t="s">
        <v>56</v>
      </c>
      <c r="K4" s="14" t="s">
        <v>37</v>
      </c>
      <c r="L4" s="10" t="s">
        <v>1119</v>
      </c>
      <c r="M4" s="10" t="s">
        <v>127</v>
      </c>
      <c r="N4" s="10" t="s">
        <v>128</v>
      </c>
      <c r="O4" s="10" t="s">
        <v>1120</v>
      </c>
      <c r="P4" s="10" t="s">
        <v>236</v>
      </c>
    </row>
    <row r="5" spans="1:16" x14ac:dyDescent="0.25">
      <c r="A5" s="6"/>
      <c r="B5" s="6"/>
      <c r="C5" s="6"/>
      <c r="D5" s="6"/>
      <c r="E5" s="6"/>
      <c r="F5" s="6"/>
      <c r="G5" s="6"/>
      <c r="H5" s="6"/>
      <c r="I5" s="6"/>
      <c r="J5" s="6"/>
      <c r="K5" s="6"/>
      <c r="L5" s="6"/>
      <c r="M5" s="6"/>
    </row>
  </sheetData>
  <phoneticPr fontId="12" type="noConversion"/>
  <dataValidations count="5">
    <dataValidation type="list" allowBlank="1" showInputMessage="1" showErrorMessage="1" sqref="B2:B996" xr:uid="{1F22476B-947B-4DDF-8976-EDE08A9B661E}">
      <formula1>"Yes,No"</formula1>
    </dataValidation>
    <dataValidation type="list" allowBlank="1" showInputMessage="1" showErrorMessage="1" sqref="C2:C996" xr:uid="{A237F0A5-E7BE-465C-8281-D334064800A1}">
      <formula1>"Evaluation Bullet,Award,Service School,Certification,Special Assignment,Volunteer Service,Other"</formula1>
    </dataValidation>
    <dataValidation type="list" allowBlank="1" showInputMessage="1" showErrorMessage="1" sqref="K2:K996" xr:uid="{D6848522-0E6C-44FB-A1BE-0320FE7B521E}">
      <formula1>"Clear,Needs Review,Do Not Use"</formula1>
    </dataValidation>
    <dataValidation type="list" allowBlank="1" showInputMessage="1" showErrorMessage="1" sqref="M2:M996" xr:uid="{25E1AF90-C87D-4CC8-9B60-2C03E800F929}">
      <formula1>"Project Management,Operations,IT/Cybersecurity,Logistics,Other"</formula1>
    </dataValidation>
    <dataValidation type="list" allowBlank="1" showInputMessage="1" showErrorMessage="1" sqref="P2:P996" xr:uid="{38B82C27-91AC-46E0-A066-419EF6044FF4}">
      <formula1>"Army,Navy,Marine Corps,Air Force,Space Force,Coast Guard"</formula1>
    </dataValidation>
  </dataValidation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7B8CE-9D5B-4258-B81C-A9D4DFADAC62}">
  <sheetPr>
    <tabColor rgb="FF7C3AED"/>
  </sheetPr>
  <dimension ref="A1:H31"/>
  <sheetViews>
    <sheetView workbookViewId="0">
      <selection sqref="A1:P1"/>
    </sheetView>
  </sheetViews>
  <sheetFormatPr defaultRowHeight="15" x14ac:dyDescent="0.25"/>
  <cols>
    <col min="1" max="1" width="17" bestFit="1" customWidth="1"/>
    <col min="2" max="2" width="16.28515625" bestFit="1" customWidth="1"/>
    <col min="3" max="3" width="35" bestFit="1" customWidth="1"/>
    <col min="4" max="4" width="13.7109375" bestFit="1" customWidth="1"/>
    <col min="5" max="5" width="39.7109375" bestFit="1" customWidth="1"/>
    <col min="6" max="6" width="17" bestFit="1" customWidth="1"/>
    <col min="7" max="7" width="26.140625" bestFit="1" customWidth="1"/>
    <col min="8" max="8" width="24" bestFit="1" customWidth="1"/>
  </cols>
  <sheetData>
    <row r="1" spans="1:8" ht="15.75" thickBot="1" x14ac:dyDescent="0.3">
      <c r="A1" s="17" t="s">
        <v>384</v>
      </c>
      <c r="B1" s="17" t="s">
        <v>403</v>
      </c>
      <c r="C1" s="17" t="s">
        <v>404</v>
      </c>
      <c r="D1" s="17" t="s">
        <v>391</v>
      </c>
      <c r="E1" s="17" t="s">
        <v>405</v>
      </c>
      <c r="F1" s="17" t="s">
        <v>384</v>
      </c>
      <c r="G1" s="17" t="s">
        <v>406</v>
      </c>
      <c r="H1" s="17" t="s">
        <v>407</v>
      </c>
    </row>
    <row r="2" spans="1:8" ht="30" x14ac:dyDescent="0.25">
      <c r="A2" s="18" t="s">
        <v>236</v>
      </c>
      <c r="B2" s="18" t="s">
        <v>94</v>
      </c>
      <c r="C2" s="18" t="s">
        <v>95</v>
      </c>
      <c r="D2" s="18" t="s">
        <v>96</v>
      </c>
      <c r="E2" s="18" t="s">
        <v>97</v>
      </c>
      <c r="F2" s="18" t="s">
        <v>236</v>
      </c>
      <c r="G2" s="18" t="s">
        <v>24</v>
      </c>
      <c r="H2" s="18" t="s">
        <v>101</v>
      </c>
    </row>
    <row r="3" spans="1:8" ht="30" x14ac:dyDescent="0.25">
      <c r="A3" s="19" t="s">
        <v>236</v>
      </c>
      <c r="B3" s="19" t="s">
        <v>98</v>
      </c>
      <c r="C3" s="19" t="s">
        <v>99</v>
      </c>
      <c r="D3" s="19" t="s">
        <v>96</v>
      </c>
      <c r="E3" s="19" t="s">
        <v>100</v>
      </c>
      <c r="F3" s="19" t="s">
        <v>236</v>
      </c>
      <c r="G3" s="19" t="s">
        <v>41</v>
      </c>
      <c r="H3" s="19" t="s">
        <v>313</v>
      </c>
    </row>
    <row r="4" spans="1:8" ht="30" x14ac:dyDescent="0.25">
      <c r="A4" s="18" t="s">
        <v>236</v>
      </c>
      <c r="B4" s="18" t="s">
        <v>24</v>
      </c>
      <c r="C4" s="18" t="s">
        <v>101</v>
      </c>
      <c r="D4" s="18" t="s">
        <v>7</v>
      </c>
      <c r="E4" s="18" t="s">
        <v>237</v>
      </c>
      <c r="F4" s="18" t="s">
        <v>236</v>
      </c>
      <c r="G4" s="18" t="s">
        <v>314</v>
      </c>
      <c r="H4" s="18" t="s">
        <v>315</v>
      </c>
    </row>
    <row r="5" spans="1:8" ht="30" x14ac:dyDescent="0.25">
      <c r="A5" s="19" t="s">
        <v>236</v>
      </c>
      <c r="B5" s="19" t="s">
        <v>102</v>
      </c>
      <c r="C5" s="19" t="s">
        <v>103</v>
      </c>
      <c r="D5" s="19" t="s">
        <v>104</v>
      </c>
      <c r="E5" s="19" t="s">
        <v>238</v>
      </c>
      <c r="F5" s="19" t="s">
        <v>236</v>
      </c>
      <c r="G5" s="19" t="s">
        <v>316</v>
      </c>
      <c r="H5" s="19" t="s">
        <v>317</v>
      </c>
    </row>
    <row r="6" spans="1:8" ht="30" x14ac:dyDescent="0.25">
      <c r="A6" s="18" t="s">
        <v>236</v>
      </c>
      <c r="B6" s="18" t="s">
        <v>105</v>
      </c>
      <c r="C6" s="18" t="s">
        <v>239</v>
      </c>
      <c r="D6" s="18" t="s">
        <v>106</v>
      </c>
      <c r="E6" s="18" t="s">
        <v>240</v>
      </c>
      <c r="F6" s="18" t="s">
        <v>241</v>
      </c>
      <c r="G6" s="18" t="s">
        <v>242</v>
      </c>
      <c r="H6" s="18" t="s">
        <v>101</v>
      </c>
    </row>
    <row r="7" spans="1:8" ht="30" x14ac:dyDescent="0.25">
      <c r="A7" s="19" t="s">
        <v>241</v>
      </c>
      <c r="B7" s="19" t="s">
        <v>242</v>
      </c>
      <c r="C7" s="19" t="s">
        <v>101</v>
      </c>
      <c r="D7" s="19" t="s">
        <v>7</v>
      </c>
      <c r="E7" s="19" t="s">
        <v>243</v>
      </c>
      <c r="F7" s="19" t="s">
        <v>241</v>
      </c>
      <c r="G7" s="19" t="s">
        <v>41</v>
      </c>
      <c r="H7" s="19" t="s">
        <v>313</v>
      </c>
    </row>
    <row r="8" spans="1:8" ht="30" x14ac:dyDescent="0.25">
      <c r="A8" s="18" t="s">
        <v>241</v>
      </c>
      <c r="B8" s="18" t="s">
        <v>244</v>
      </c>
      <c r="C8" s="18" t="s">
        <v>245</v>
      </c>
      <c r="D8" s="18" t="s">
        <v>96</v>
      </c>
      <c r="E8" s="18" t="s">
        <v>246</v>
      </c>
      <c r="F8" s="18" t="s">
        <v>241</v>
      </c>
      <c r="G8" s="18" t="s">
        <v>51</v>
      </c>
      <c r="H8" s="18" t="s">
        <v>315</v>
      </c>
    </row>
    <row r="9" spans="1:8" ht="30" x14ac:dyDescent="0.25">
      <c r="A9" s="19" t="s">
        <v>241</v>
      </c>
      <c r="B9" s="19" t="s">
        <v>247</v>
      </c>
      <c r="C9" s="19" t="s">
        <v>248</v>
      </c>
      <c r="D9" s="19" t="s">
        <v>96</v>
      </c>
      <c r="E9" s="19" t="s">
        <v>249</v>
      </c>
      <c r="F9" s="19" t="s">
        <v>256</v>
      </c>
      <c r="G9" s="19" t="s">
        <v>257</v>
      </c>
      <c r="H9" s="19" t="s">
        <v>101</v>
      </c>
    </row>
    <row r="10" spans="1:8" ht="30" x14ac:dyDescent="0.25">
      <c r="A10" s="18" t="s">
        <v>241</v>
      </c>
      <c r="B10" s="18" t="s">
        <v>250</v>
      </c>
      <c r="C10" s="18" t="s">
        <v>251</v>
      </c>
      <c r="D10" s="18" t="s">
        <v>104</v>
      </c>
      <c r="E10" s="18" t="s">
        <v>252</v>
      </c>
      <c r="F10" s="18" t="s">
        <v>256</v>
      </c>
      <c r="G10" s="18" t="s">
        <v>41</v>
      </c>
      <c r="H10" s="18" t="s">
        <v>313</v>
      </c>
    </row>
    <row r="11" spans="1:8" ht="30" x14ac:dyDescent="0.25">
      <c r="A11" s="19" t="s">
        <v>241</v>
      </c>
      <c r="B11" s="19" t="s">
        <v>253</v>
      </c>
      <c r="C11" s="19" t="s">
        <v>254</v>
      </c>
      <c r="D11" s="19" t="s">
        <v>108</v>
      </c>
      <c r="E11" s="19" t="s">
        <v>255</v>
      </c>
      <c r="F11" s="19" t="s">
        <v>256</v>
      </c>
      <c r="G11" s="19" t="s">
        <v>51</v>
      </c>
      <c r="H11" s="19" t="s">
        <v>315</v>
      </c>
    </row>
    <row r="12" spans="1:8" ht="30" x14ac:dyDescent="0.25">
      <c r="A12" s="18" t="s">
        <v>256</v>
      </c>
      <c r="B12" s="18" t="s">
        <v>257</v>
      </c>
      <c r="C12" s="18" t="s">
        <v>101</v>
      </c>
      <c r="D12" s="18" t="s">
        <v>7</v>
      </c>
      <c r="E12" s="18" t="s">
        <v>258</v>
      </c>
      <c r="F12" s="18" t="s">
        <v>269</v>
      </c>
      <c r="G12" s="18" t="s">
        <v>270</v>
      </c>
      <c r="H12" s="18" t="s">
        <v>101</v>
      </c>
    </row>
    <row r="13" spans="1:8" ht="30" x14ac:dyDescent="0.25">
      <c r="A13" s="19" t="s">
        <v>256</v>
      </c>
      <c r="B13" s="19" t="s">
        <v>102</v>
      </c>
      <c r="C13" s="19" t="s">
        <v>103</v>
      </c>
      <c r="D13" s="19" t="s">
        <v>104</v>
      </c>
      <c r="E13" s="19" t="s">
        <v>259</v>
      </c>
      <c r="F13" s="19" t="s">
        <v>269</v>
      </c>
      <c r="G13" s="19" t="s">
        <v>318</v>
      </c>
      <c r="H13" s="19" t="s">
        <v>313</v>
      </c>
    </row>
    <row r="14" spans="1:8" ht="30" x14ac:dyDescent="0.25">
      <c r="A14" s="18" t="s">
        <v>256</v>
      </c>
      <c r="B14" s="18" t="s">
        <v>260</v>
      </c>
      <c r="C14" s="18" t="s">
        <v>261</v>
      </c>
      <c r="D14" s="18" t="s">
        <v>96</v>
      </c>
      <c r="E14" s="18" t="s">
        <v>262</v>
      </c>
      <c r="F14" s="18" t="s">
        <v>269</v>
      </c>
      <c r="G14" s="18" t="s">
        <v>319</v>
      </c>
      <c r="H14" s="18" t="s">
        <v>315</v>
      </c>
    </row>
    <row r="15" spans="1:8" ht="30" x14ac:dyDescent="0.25">
      <c r="A15" s="19" t="s">
        <v>256</v>
      </c>
      <c r="B15" s="19" t="s">
        <v>263</v>
      </c>
      <c r="C15" s="19" t="s">
        <v>264</v>
      </c>
      <c r="D15" s="19" t="s">
        <v>78</v>
      </c>
      <c r="E15" s="19" t="s">
        <v>265</v>
      </c>
      <c r="F15" s="19" t="s">
        <v>283</v>
      </c>
      <c r="G15" s="19" t="s">
        <v>270</v>
      </c>
      <c r="H15" s="19" t="s">
        <v>101</v>
      </c>
    </row>
    <row r="16" spans="1:8" ht="30" x14ac:dyDescent="0.25">
      <c r="A16" s="18" t="s">
        <v>256</v>
      </c>
      <c r="B16" s="18" t="s">
        <v>266</v>
      </c>
      <c r="C16" s="18" t="s">
        <v>267</v>
      </c>
      <c r="D16" s="18" t="s">
        <v>107</v>
      </c>
      <c r="E16" s="18" t="s">
        <v>268</v>
      </c>
      <c r="F16" s="18" t="s">
        <v>283</v>
      </c>
      <c r="G16" s="18" t="s">
        <v>318</v>
      </c>
      <c r="H16" s="18" t="s">
        <v>313</v>
      </c>
    </row>
    <row r="17" spans="1:8" ht="30" x14ac:dyDescent="0.25">
      <c r="A17" s="19" t="s">
        <v>269</v>
      </c>
      <c r="B17" s="19" t="s">
        <v>270</v>
      </c>
      <c r="C17" s="19" t="s">
        <v>271</v>
      </c>
      <c r="D17" s="19" t="s">
        <v>7</v>
      </c>
      <c r="E17" s="19" t="s">
        <v>272</v>
      </c>
      <c r="F17" s="19" t="s">
        <v>283</v>
      </c>
      <c r="G17" s="19" t="s">
        <v>319</v>
      </c>
      <c r="H17" s="19" t="s">
        <v>315</v>
      </c>
    </row>
    <row r="18" spans="1:8" ht="30" x14ac:dyDescent="0.25">
      <c r="A18" s="18" t="s">
        <v>269</v>
      </c>
      <c r="B18" s="18" t="s">
        <v>273</v>
      </c>
      <c r="C18" s="18" t="s">
        <v>103</v>
      </c>
      <c r="D18" s="18" t="s">
        <v>104</v>
      </c>
      <c r="E18" s="18" t="s">
        <v>274</v>
      </c>
      <c r="F18" s="18" t="s">
        <v>299</v>
      </c>
      <c r="G18" s="18" t="s">
        <v>300</v>
      </c>
      <c r="H18" s="18" t="s">
        <v>101</v>
      </c>
    </row>
    <row r="19" spans="1:8" ht="30" x14ac:dyDescent="0.25">
      <c r="A19" s="19" t="s">
        <v>269</v>
      </c>
      <c r="B19" s="19" t="s">
        <v>94</v>
      </c>
      <c r="C19" s="19" t="s">
        <v>95</v>
      </c>
      <c r="D19" s="19" t="s">
        <v>96</v>
      </c>
      <c r="E19" s="19" t="s">
        <v>275</v>
      </c>
      <c r="F19" s="19" t="s">
        <v>299</v>
      </c>
      <c r="G19" s="19" t="s">
        <v>41</v>
      </c>
      <c r="H19" s="19" t="s">
        <v>313</v>
      </c>
    </row>
    <row r="20" spans="1:8" ht="30" x14ac:dyDescent="0.25">
      <c r="A20" s="18" t="s">
        <v>269</v>
      </c>
      <c r="B20" s="18" t="s">
        <v>276</v>
      </c>
      <c r="C20" s="18" t="s">
        <v>277</v>
      </c>
      <c r="D20" s="18" t="s">
        <v>278</v>
      </c>
      <c r="E20" s="18" t="s">
        <v>279</v>
      </c>
      <c r="F20" s="18" t="s">
        <v>299</v>
      </c>
      <c r="G20" s="18" t="s">
        <v>320</v>
      </c>
      <c r="H20" s="18" t="s">
        <v>315</v>
      </c>
    </row>
    <row r="21" spans="1:8" ht="30" x14ac:dyDescent="0.25">
      <c r="A21" s="19" t="s">
        <v>269</v>
      </c>
      <c r="B21" s="19" t="s">
        <v>280</v>
      </c>
      <c r="C21" s="19" t="s">
        <v>281</v>
      </c>
      <c r="D21" s="19" t="s">
        <v>107</v>
      </c>
      <c r="E21" s="19" t="s">
        <v>282</v>
      </c>
      <c r="F21" s="19" t="s">
        <v>321</v>
      </c>
      <c r="G21" s="19" t="s">
        <v>322</v>
      </c>
      <c r="H21" s="19" t="s">
        <v>323</v>
      </c>
    </row>
    <row r="22" spans="1:8" ht="30" x14ac:dyDescent="0.25">
      <c r="A22" s="18" t="s">
        <v>283</v>
      </c>
      <c r="B22" s="18" t="s">
        <v>270</v>
      </c>
      <c r="C22" s="18" t="s">
        <v>271</v>
      </c>
      <c r="D22" s="18" t="s">
        <v>7</v>
      </c>
      <c r="E22" s="18" t="s">
        <v>284</v>
      </c>
    </row>
    <row r="23" spans="1:8" ht="30" x14ac:dyDescent="0.25">
      <c r="A23" s="19" t="s">
        <v>283</v>
      </c>
      <c r="B23" s="19" t="s">
        <v>285</v>
      </c>
      <c r="C23" s="19" t="s">
        <v>286</v>
      </c>
      <c r="D23" s="19" t="s">
        <v>104</v>
      </c>
      <c r="E23" s="19" t="s">
        <v>287</v>
      </c>
    </row>
    <row r="24" spans="1:8" ht="30" x14ac:dyDescent="0.25">
      <c r="A24" s="18" t="s">
        <v>283</v>
      </c>
      <c r="B24" s="18" t="s">
        <v>288</v>
      </c>
      <c r="C24" s="18" t="s">
        <v>289</v>
      </c>
      <c r="D24" s="18" t="s">
        <v>290</v>
      </c>
      <c r="E24" s="18" t="s">
        <v>291</v>
      </c>
    </row>
    <row r="25" spans="1:8" ht="30" x14ac:dyDescent="0.25">
      <c r="A25" s="19" t="s">
        <v>283</v>
      </c>
      <c r="B25" s="19" t="s">
        <v>292</v>
      </c>
      <c r="C25" s="19" t="s">
        <v>293</v>
      </c>
      <c r="D25" s="19" t="s">
        <v>294</v>
      </c>
      <c r="E25" s="19" t="s">
        <v>295</v>
      </c>
    </row>
    <row r="26" spans="1:8" ht="30" x14ac:dyDescent="0.25">
      <c r="A26" s="18" t="s">
        <v>283</v>
      </c>
      <c r="B26" s="18" t="s">
        <v>296</v>
      </c>
      <c r="C26" s="18" t="s">
        <v>297</v>
      </c>
      <c r="D26" s="18" t="s">
        <v>107</v>
      </c>
      <c r="E26" s="18" t="s">
        <v>298</v>
      </c>
    </row>
    <row r="27" spans="1:8" ht="30" x14ac:dyDescent="0.25">
      <c r="A27" s="19" t="s">
        <v>299</v>
      </c>
      <c r="B27" s="19" t="s">
        <v>300</v>
      </c>
      <c r="C27" s="19" t="s">
        <v>101</v>
      </c>
      <c r="D27" s="19" t="s">
        <v>7</v>
      </c>
      <c r="E27" s="19" t="s">
        <v>301</v>
      </c>
    </row>
    <row r="28" spans="1:8" ht="30" x14ac:dyDescent="0.25">
      <c r="A28" s="18" t="s">
        <v>299</v>
      </c>
      <c r="B28" s="18" t="s">
        <v>302</v>
      </c>
      <c r="C28" s="18" t="s">
        <v>103</v>
      </c>
      <c r="D28" s="18" t="s">
        <v>104</v>
      </c>
      <c r="E28" s="18" t="s">
        <v>303</v>
      </c>
    </row>
    <row r="29" spans="1:8" ht="30" x14ac:dyDescent="0.25">
      <c r="A29" s="19" t="s">
        <v>299</v>
      </c>
      <c r="B29" s="19" t="s">
        <v>98</v>
      </c>
      <c r="C29" s="19" t="s">
        <v>304</v>
      </c>
      <c r="D29" s="19" t="s">
        <v>96</v>
      </c>
      <c r="E29" s="19" t="s">
        <v>305</v>
      </c>
    </row>
    <row r="30" spans="1:8" ht="30" x14ac:dyDescent="0.25">
      <c r="A30" s="18" t="s">
        <v>299</v>
      </c>
      <c r="B30" s="18" t="s">
        <v>306</v>
      </c>
      <c r="C30" s="18" t="s">
        <v>307</v>
      </c>
      <c r="D30" s="18" t="s">
        <v>107</v>
      </c>
      <c r="E30" s="18" t="s">
        <v>308</v>
      </c>
    </row>
    <row r="31" spans="1:8" ht="30" x14ac:dyDescent="0.25">
      <c r="A31" s="19" t="s">
        <v>299</v>
      </c>
      <c r="B31" s="19" t="s">
        <v>309</v>
      </c>
      <c r="C31" s="19" t="s">
        <v>310</v>
      </c>
      <c r="D31" s="19" t="s">
        <v>311</v>
      </c>
      <c r="E31" s="19" t="s">
        <v>312</v>
      </c>
    </row>
  </sheetData>
  <pageMargins left="0.7" right="0.7" top="0.75" bottom="0.75" header="0.3" footer="0.3"/>
  <tableParts count="2">
    <tablePart r:id="rId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D4AB31-6571-41A8-9414-05C93D02C86F}">
  <dimension ref="A1:J9"/>
  <sheetViews>
    <sheetView workbookViewId="0">
      <pane ySplit="1" topLeftCell="A2" activePane="bottomLeft" state="frozen"/>
      <selection pane="bottomLeft" sqref="A1:H1"/>
    </sheetView>
  </sheetViews>
  <sheetFormatPr defaultRowHeight="15" x14ac:dyDescent="0.25"/>
  <cols>
    <col min="1" max="1" width="16.140625" style="1" customWidth="1"/>
    <col min="2" max="4" width="29.5703125" style="1" customWidth="1"/>
    <col min="5" max="7" width="46.7109375" style="1" customWidth="1"/>
    <col min="8" max="8" width="35.28515625" style="1" customWidth="1"/>
    <col min="9" max="9" width="44.7109375" style="1" customWidth="1"/>
    <col min="10" max="10" width="41.85546875" style="1" customWidth="1"/>
  </cols>
  <sheetData>
    <row r="1" spans="1:10" ht="33.950000000000003" customHeight="1" x14ac:dyDescent="0.25">
      <c r="A1" s="1" t="s">
        <v>1449</v>
      </c>
      <c r="B1" s="1" t="s">
        <v>1450</v>
      </c>
      <c r="C1" s="1" t="s">
        <v>384</v>
      </c>
      <c r="D1" s="1" t="s">
        <v>1451</v>
      </c>
      <c r="E1" s="1" t="s">
        <v>1452</v>
      </c>
      <c r="F1" s="1" t="s">
        <v>1453</v>
      </c>
      <c r="G1" s="1" t="s">
        <v>1454</v>
      </c>
      <c r="H1" s="1" t="s">
        <v>664</v>
      </c>
      <c r="I1" s="1" t="s">
        <v>419</v>
      </c>
      <c r="J1" s="1" t="s">
        <v>380</v>
      </c>
    </row>
    <row r="2" spans="1:10" ht="60" x14ac:dyDescent="0.25">
      <c r="A2" s="24" t="s">
        <v>1455</v>
      </c>
      <c r="B2" s="24" t="s">
        <v>1456</v>
      </c>
      <c r="C2" s="24" t="s">
        <v>321</v>
      </c>
      <c r="D2" s="24" t="s">
        <v>1457</v>
      </c>
      <c r="E2" s="24" t="s">
        <v>1458</v>
      </c>
      <c r="F2" s="24" t="s">
        <v>1459</v>
      </c>
      <c r="G2" s="24" t="s">
        <v>1460</v>
      </c>
      <c r="H2" s="24" t="s">
        <v>1461</v>
      </c>
      <c r="I2" s="24" t="s">
        <v>1437</v>
      </c>
      <c r="J2" s="24" t="s">
        <v>1462</v>
      </c>
    </row>
    <row r="3" spans="1:10" ht="60" x14ac:dyDescent="0.25">
      <c r="A3" s="24" t="s">
        <v>1463</v>
      </c>
      <c r="B3" s="24" t="s">
        <v>1456</v>
      </c>
      <c r="C3" s="24" t="s">
        <v>321</v>
      </c>
      <c r="D3" s="24" t="s">
        <v>1464</v>
      </c>
      <c r="E3" s="24" t="s">
        <v>1465</v>
      </c>
      <c r="F3" s="24" t="s">
        <v>1466</v>
      </c>
      <c r="G3" s="24" t="s">
        <v>1467</v>
      </c>
      <c r="H3" s="24" t="s">
        <v>1433</v>
      </c>
      <c r="I3" s="24" t="s">
        <v>1437</v>
      </c>
      <c r="J3" s="24" t="s">
        <v>1468</v>
      </c>
    </row>
    <row r="4" spans="1:10" ht="75" x14ac:dyDescent="0.25">
      <c r="A4" s="24" t="s">
        <v>1469</v>
      </c>
      <c r="B4" s="24" t="s">
        <v>1470</v>
      </c>
      <c r="C4" s="24" t="s">
        <v>1471</v>
      </c>
      <c r="D4" s="24" t="s">
        <v>1472</v>
      </c>
      <c r="E4" s="24" t="s">
        <v>1473</v>
      </c>
      <c r="F4" s="24" t="s">
        <v>1474</v>
      </c>
      <c r="G4" s="24" t="s">
        <v>1475</v>
      </c>
      <c r="H4" s="24" t="s">
        <v>1476</v>
      </c>
      <c r="I4" s="24" t="s">
        <v>1070</v>
      </c>
      <c r="J4" s="24" t="s">
        <v>1477</v>
      </c>
    </row>
    <row r="5" spans="1:10" ht="75" x14ac:dyDescent="0.25">
      <c r="A5" s="24" t="s">
        <v>1478</v>
      </c>
      <c r="B5" s="24" t="s">
        <v>1479</v>
      </c>
      <c r="C5" s="24" t="s">
        <v>1480</v>
      </c>
      <c r="D5" s="24" t="s">
        <v>102</v>
      </c>
      <c r="E5" s="24" t="s">
        <v>1481</v>
      </c>
      <c r="F5" s="24" t="s">
        <v>1482</v>
      </c>
      <c r="G5" s="24" t="s">
        <v>1483</v>
      </c>
      <c r="H5" s="24" t="s">
        <v>1484</v>
      </c>
      <c r="I5" s="24" t="s">
        <v>1447</v>
      </c>
      <c r="J5" s="24" t="s">
        <v>1485</v>
      </c>
    </row>
    <row r="6" spans="1:10" ht="60" x14ac:dyDescent="0.25">
      <c r="A6" s="24" t="s">
        <v>1486</v>
      </c>
      <c r="B6" s="24" t="s">
        <v>1479</v>
      </c>
      <c r="C6" s="24" t="s">
        <v>269</v>
      </c>
      <c r="D6" s="24" t="s">
        <v>273</v>
      </c>
      <c r="E6" s="24" t="s">
        <v>1487</v>
      </c>
      <c r="F6" s="24" t="s">
        <v>1488</v>
      </c>
      <c r="G6" s="24" t="s">
        <v>1489</v>
      </c>
      <c r="H6" s="24" t="s">
        <v>1484</v>
      </c>
      <c r="I6" s="24" t="s">
        <v>1447</v>
      </c>
      <c r="J6" s="24" t="s">
        <v>1490</v>
      </c>
    </row>
    <row r="7" spans="1:10" ht="45" x14ac:dyDescent="0.25">
      <c r="A7" s="24" t="s">
        <v>1491</v>
      </c>
      <c r="B7" s="24" t="s">
        <v>1479</v>
      </c>
      <c r="C7" s="24" t="s">
        <v>1492</v>
      </c>
      <c r="D7" s="24" t="s">
        <v>1493</v>
      </c>
      <c r="E7" s="24" t="s">
        <v>1494</v>
      </c>
      <c r="F7" s="24" t="s">
        <v>1495</v>
      </c>
      <c r="G7" s="24" t="s">
        <v>1496</v>
      </c>
      <c r="H7" s="24" t="s">
        <v>1484</v>
      </c>
      <c r="I7" s="24" t="s">
        <v>1447</v>
      </c>
      <c r="J7" s="24" t="s">
        <v>1497</v>
      </c>
    </row>
    <row r="8" spans="1:10" ht="60" x14ac:dyDescent="0.25">
      <c r="A8" s="24" t="s">
        <v>1498</v>
      </c>
      <c r="B8" s="24" t="s">
        <v>1479</v>
      </c>
      <c r="C8" s="24" t="s">
        <v>283</v>
      </c>
      <c r="D8" s="24" t="s">
        <v>285</v>
      </c>
      <c r="E8" s="24" t="s">
        <v>1499</v>
      </c>
      <c r="F8" s="24" t="s">
        <v>1500</v>
      </c>
      <c r="G8" s="24" t="s">
        <v>1501</v>
      </c>
      <c r="H8" s="24" t="s">
        <v>1484</v>
      </c>
      <c r="I8" s="24" t="s">
        <v>1447</v>
      </c>
      <c r="J8" s="24" t="s">
        <v>1502</v>
      </c>
    </row>
    <row r="9" spans="1:10" ht="45" x14ac:dyDescent="0.25">
      <c r="A9" s="24" t="s">
        <v>1503</v>
      </c>
      <c r="B9" s="24" t="s">
        <v>1504</v>
      </c>
      <c r="C9" s="24" t="s">
        <v>241</v>
      </c>
      <c r="D9" s="24" t="s">
        <v>250</v>
      </c>
      <c r="E9" s="24" t="s">
        <v>1505</v>
      </c>
      <c r="F9" s="24" t="s">
        <v>1506</v>
      </c>
      <c r="G9" s="24" t="s">
        <v>1507</v>
      </c>
      <c r="H9" s="24" t="s">
        <v>1508</v>
      </c>
      <c r="I9" s="24" t="s">
        <v>1081</v>
      </c>
      <c r="J9" s="24" t="s">
        <v>1509</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5E8B5E-544A-4AAF-BF6F-3D2EF932EF86}">
  <dimension ref="A1:J211"/>
  <sheetViews>
    <sheetView workbookViewId="0">
      <pane ySplit="1" topLeftCell="A2" activePane="bottomLeft" state="frozen"/>
      <selection pane="bottomLeft" sqref="A1:H1"/>
    </sheetView>
  </sheetViews>
  <sheetFormatPr defaultRowHeight="15" x14ac:dyDescent="0.25"/>
  <cols>
    <col min="1" max="1" width="18.140625" style="1" customWidth="1"/>
    <col min="2" max="2" width="20" style="1" customWidth="1"/>
    <col min="3" max="4" width="35.28515625" style="1" customWidth="1"/>
    <col min="5" max="5" width="45.7109375" style="1" customWidth="1"/>
    <col min="6" max="6" width="31.42578125" style="1" customWidth="1"/>
    <col min="7" max="7" width="52.42578125" style="1" customWidth="1"/>
    <col min="8" max="8" width="25.7109375" style="1" customWidth="1"/>
    <col min="9" max="9" width="34.28515625" style="1" customWidth="1"/>
    <col min="10" max="10" width="46.7109375" style="1" customWidth="1"/>
  </cols>
  <sheetData>
    <row r="1" spans="1:10" ht="33.950000000000003" customHeight="1" x14ac:dyDescent="0.25">
      <c r="A1" s="1" t="s">
        <v>384</v>
      </c>
      <c r="B1" s="1" t="s">
        <v>657</v>
      </c>
      <c r="C1" s="1" t="s">
        <v>658</v>
      </c>
      <c r="D1" s="1" t="s">
        <v>659</v>
      </c>
      <c r="E1" s="1" t="s">
        <v>660</v>
      </c>
      <c r="F1" s="1" t="s">
        <v>661</v>
      </c>
      <c r="G1" s="1" t="s">
        <v>662</v>
      </c>
      <c r="H1" s="1" t="s">
        <v>663</v>
      </c>
      <c r="I1" s="1" t="s">
        <v>664</v>
      </c>
      <c r="J1" s="1" t="s">
        <v>665</v>
      </c>
    </row>
    <row r="2" spans="1:10" ht="60" x14ac:dyDescent="0.25">
      <c r="A2" s="24" t="s">
        <v>236</v>
      </c>
      <c r="B2" s="24" t="s">
        <v>666</v>
      </c>
      <c r="C2" s="24" t="s">
        <v>94</v>
      </c>
      <c r="D2" s="24" t="s">
        <v>95</v>
      </c>
      <c r="E2" s="24" t="s">
        <v>667</v>
      </c>
      <c r="F2" s="24" t="s">
        <v>421</v>
      </c>
      <c r="G2" s="24" t="s">
        <v>668</v>
      </c>
      <c r="H2" s="24" t="s">
        <v>669</v>
      </c>
      <c r="I2" s="24" t="s">
        <v>670</v>
      </c>
      <c r="J2" s="24" t="s">
        <v>671</v>
      </c>
    </row>
    <row r="3" spans="1:10" ht="60" x14ac:dyDescent="0.25">
      <c r="A3" s="24" t="s">
        <v>236</v>
      </c>
      <c r="B3" s="24" t="s">
        <v>666</v>
      </c>
      <c r="C3" s="24" t="s">
        <v>94</v>
      </c>
      <c r="D3" s="24" t="s">
        <v>95</v>
      </c>
      <c r="E3" s="24" t="s">
        <v>672</v>
      </c>
      <c r="F3" s="24" t="s">
        <v>434</v>
      </c>
      <c r="G3" s="24" t="s">
        <v>673</v>
      </c>
      <c r="H3" s="24" t="s">
        <v>669</v>
      </c>
      <c r="I3" s="24" t="s">
        <v>670</v>
      </c>
      <c r="J3" s="24" t="s">
        <v>674</v>
      </c>
    </row>
    <row r="4" spans="1:10" ht="60" x14ac:dyDescent="0.25">
      <c r="A4" s="24" t="s">
        <v>236</v>
      </c>
      <c r="B4" s="24" t="s">
        <v>666</v>
      </c>
      <c r="C4" s="24" t="s">
        <v>94</v>
      </c>
      <c r="D4" s="24" t="s">
        <v>95</v>
      </c>
      <c r="E4" s="24" t="s">
        <v>675</v>
      </c>
      <c r="F4" s="24" t="s">
        <v>447</v>
      </c>
      <c r="G4" s="24" t="s">
        <v>676</v>
      </c>
      <c r="H4" s="24" t="s">
        <v>669</v>
      </c>
      <c r="I4" s="24" t="s">
        <v>670</v>
      </c>
      <c r="J4" s="24" t="s">
        <v>677</v>
      </c>
    </row>
    <row r="5" spans="1:10" ht="75" x14ac:dyDescent="0.25">
      <c r="A5" s="24" t="s">
        <v>236</v>
      </c>
      <c r="B5" s="24" t="s">
        <v>666</v>
      </c>
      <c r="C5" s="24" t="s">
        <v>94</v>
      </c>
      <c r="D5" s="24" t="s">
        <v>95</v>
      </c>
      <c r="E5" s="24" t="s">
        <v>678</v>
      </c>
      <c r="F5" s="24" t="s">
        <v>458</v>
      </c>
      <c r="G5" s="24" t="s">
        <v>679</v>
      </c>
      <c r="H5" s="24" t="s">
        <v>669</v>
      </c>
      <c r="I5" s="24" t="s">
        <v>670</v>
      </c>
      <c r="J5" s="24" t="s">
        <v>680</v>
      </c>
    </row>
    <row r="6" spans="1:10" ht="60" x14ac:dyDescent="0.25">
      <c r="A6" s="24" t="s">
        <v>236</v>
      </c>
      <c r="B6" s="24" t="s">
        <v>666</v>
      </c>
      <c r="C6" s="24" t="s">
        <v>94</v>
      </c>
      <c r="D6" s="24" t="s">
        <v>95</v>
      </c>
      <c r="E6" s="24" t="s">
        <v>681</v>
      </c>
      <c r="F6" s="24" t="s">
        <v>471</v>
      </c>
      <c r="G6" s="24" t="s">
        <v>682</v>
      </c>
      <c r="H6" s="24" t="s">
        <v>669</v>
      </c>
      <c r="I6" s="24" t="s">
        <v>670</v>
      </c>
      <c r="J6" s="24" t="s">
        <v>683</v>
      </c>
    </row>
    <row r="7" spans="1:10" ht="75" x14ac:dyDescent="0.25">
      <c r="A7" s="24" t="s">
        <v>236</v>
      </c>
      <c r="B7" s="24" t="s">
        <v>666</v>
      </c>
      <c r="C7" s="24" t="s">
        <v>94</v>
      </c>
      <c r="D7" s="24" t="s">
        <v>95</v>
      </c>
      <c r="E7" s="24" t="s">
        <v>684</v>
      </c>
      <c r="F7" s="24" t="s">
        <v>484</v>
      </c>
      <c r="G7" s="24" t="s">
        <v>685</v>
      </c>
      <c r="H7" s="24" t="s">
        <v>669</v>
      </c>
      <c r="I7" s="24" t="s">
        <v>670</v>
      </c>
      <c r="J7" s="24" t="s">
        <v>686</v>
      </c>
    </row>
    <row r="8" spans="1:10" ht="75" x14ac:dyDescent="0.25">
      <c r="A8" s="24" t="s">
        <v>236</v>
      </c>
      <c r="B8" s="24" t="s">
        <v>666</v>
      </c>
      <c r="C8" s="24" t="s">
        <v>94</v>
      </c>
      <c r="D8" s="24" t="s">
        <v>95</v>
      </c>
      <c r="E8" s="24" t="s">
        <v>687</v>
      </c>
      <c r="F8" s="24" t="s">
        <v>497</v>
      </c>
      <c r="G8" s="24" t="s">
        <v>688</v>
      </c>
      <c r="H8" s="24" t="s">
        <v>669</v>
      </c>
      <c r="I8" s="24" t="s">
        <v>670</v>
      </c>
      <c r="J8" s="24" t="s">
        <v>689</v>
      </c>
    </row>
    <row r="9" spans="1:10" ht="60" x14ac:dyDescent="0.25">
      <c r="A9" s="24" t="s">
        <v>236</v>
      </c>
      <c r="B9" s="24" t="s">
        <v>666</v>
      </c>
      <c r="C9" s="24" t="s">
        <v>98</v>
      </c>
      <c r="D9" s="24" t="s">
        <v>99</v>
      </c>
      <c r="E9" s="24" t="s">
        <v>667</v>
      </c>
      <c r="F9" s="24" t="s">
        <v>421</v>
      </c>
      <c r="G9" s="24" t="s">
        <v>690</v>
      </c>
      <c r="H9" s="24" t="s">
        <v>669</v>
      </c>
      <c r="I9" s="24" t="s">
        <v>691</v>
      </c>
      <c r="J9" s="24" t="s">
        <v>671</v>
      </c>
    </row>
    <row r="10" spans="1:10" ht="60" x14ac:dyDescent="0.25">
      <c r="A10" s="24" t="s">
        <v>236</v>
      </c>
      <c r="B10" s="24" t="s">
        <v>666</v>
      </c>
      <c r="C10" s="24" t="s">
        <v>98</v>
      </c>
      <c r="D10" s="24" t="s">
        <v>99</v>
      </c>
      <c r="E10" s="24" t="s">
        <v>672</v>
      </c>
      <c r="F10" s="24" t="s">
        <v>434</v>
      </c>
      <c r="G10" s="24" t="s">
        <v>692</v>
      </c>
      <c r="H10" s="24" t="s">
        <v>669</v>
      </c>
      <c r="I10" s="24" t="s">
        <v>691</v>
      </c>
      <c r="J10" s="24" t="s">
        <v>674</v>
      </c>
    </row>
    <row r="11" spans="1:10" ht="60" x14ac:dyDescent="0.25">
      <c r="A11" s="24" t="s">
        <v>236</v>
      </c>
      <c r="B11" s="24" t="s">
        <v>666</v>
      </c>
      <c r="C11" s="24" t="s">
        <v>98</v>
      </c>
      <c r="D11" s="24" t="s">
        <v>99</v>
      </c>
      <c r="E11" s="24" t="s">
        <v>675</v>
      </c>
      <c r="F11" s="24" t="s">
        <v>447</v>
      </c>
      <c r="G11" s="24" t="s">
        <v>693</v>
      </c>
      <c r="H11" s="24" t="s">
        <v>669</v>
      </c>
      <c r="I11" s="24" t="s">
        <v>691</v>
      </c>
      <c r="J11" s="24" t="s">
        <v>677</v>
      </c>
    </row>
    <row r="12" spans="1:10" ht="60" x14ac:dyDescent="0.25">
      <c r="A12" s="24" t="s">
        <v>236</v>
      </c>
      <c r="B12" s="24" t="s">
        <v>666</v>
      </c>
      <c r="C12" s="24" t="s">
        <v>98</v>
      </c>
      <c r="D12" s="24" t="s">
        <v>99</v>
      </c>
      <c r="E12" s="24" t="s">
        <v>678</v>
      </c>
      <c r="F12" s="24" t="s">
        <v>458</v>
      </c>
      <c r="G12" s="24" t="s">
        <v>694</v>
      </c>
      <c r="H12" s="24" t="s">
        <v>669</v>
      </c>
      <c r="I12" s="24" t="s">
        <v>691</v>
      </c>
      <c r="J12" s="24" t="s">
        <v>680</v>
      </c>
    </row>
    <row r="13" spans="1:10" ht="60" x14ac:dyDescent="0.25">
      <c r="A13" s="24" t="s">
        <v>236</v>
      </c>
      <c r="B13" s="24" t="s">
        <v>666</v>
      </c>
      <c r="C13" s="24" t="s">
        <v>98</v>
      </c>
      <c r="D13" s="24" t="s">
        <v>99</v>
      </c>
      <c r="E13" s="24" t="s">
        <v>681</v>
      </c>
      <c r="F13" s="24" t="s">
        <v>471</v>
      </c>
      <c r="G13" s="24" t="s">
        <v>695</v>
      </c>
      <c r="H13" s="24" t="s">
        <v>669</v>
      </c>
      <c r="I13" s="24" t="s">
        <v>691</v>
      </c>
      <c r="J13" s="24" t="s">
        <v>683</v>
      </c>
    </row>
    <row r="14" spans="1:10" ht="60" x14ac:dyDescent="0.25">
      <c r="A14" s="24" t="s">
        <v>236</v>
      </c>
      <c r="B14" s="24" t="s">
        <v>666</v>
      </c>
      <c r="C14" s="24" t="s">
        <v>98</v>
      </c>
      <c r="D14" s="24" t="s">
        <v>99</v>
      </c>
      <c r="E14" s="24" t="s">
        <v>684</v>
      </c>
      <c r="F14" s="24" t="s">
        <v>484</v>
      </c>
      <c r="G14" s="24" t="s">
        <v>696</v>
      </c>
      <c r="H14" s="24" t="s">
        <v>669</v>
      </c>
      <c r="I14" s="24" t="s">
        <v>691</v>
      </c>
      <c r="J14" s="24" t="s">
        <v>686</v>
      </c>
    </row>
    <row r="15" spans="1:10" ht="75" x14ac:dyDescent="0.25">
      <c r="A15" s="24" t="s">
        <v>236</v>
      </c>
      <c r="B15" s="24" t="s">
        <v>666</v>
      </c>
      <c r="C15" s="24" t="s">
        <v>98</v>
      </c>
      <c r="D15" s="24" t="s">
        <v>99</v>
      </c>
      <c r="E15" s="24" t="s">
        <v>687</v>
      </c>
      <c r="F15" s="24" t="s">
        <v>497</v>
      </c>
      <c r="G15" s="24" t="s">
        <v>697</v>
      </c>
      <c r="H15" s="24" t="s">
        <v>669</v>
      </c>
      <c r="I15" s="24" t="s">
        <v>691</v>
      </c>
      <c r="J15" s="24" t="s">
        <v>689</v>
      </c>
    </row>
    <row r="16" spans="1:10" ht="60" x14ac:dyDescent="0.25">
      <c r="A16" s="24" t="s">
        <v>236</v>
      </c>
      <c r="B16" s="24" t="s">
        <v>666</v>
      </c>
      <c r="C16" s="24" t="s">
        <v>24</v>
      </c>
      <c r="D16" s="24" t="s">
        <v>101</v>
      </c>
      <c r="E16" s="24" t="s">
        <v>667</v>
      </c>
      <c r="F16" s="24" t="s">
        <v>421</v>
      </c>
      <c r="G16" s="24" t="s">
        <v>698</v>
      </c>
      <c r="H16" s="24" t="s">
        <v>669</v>
      </c>
      <c r="I16" s="24" t="s">
        <v>699</v>
      </c>
      <c r="J16" s="24" t="s">
        <v>700</v>
      </c>
    </row>
    <row r="17" spans="1:10" ht="60" x14ac:dyDescent="0.25">
      <c r="A17" s="24" t="s">
        <v>236</v>
      </c>
      <c r="B17" s="24" t="s">
        <v>666</v>
      </c>
      <c r="C17" s="24" t="s">
        <v>24</v>
      </c>
      <c r="D17" s="24" t="s">
        <v>101</v>
      </c>
      <c r="E17" s="24" t="s">
        <v>672</v>
      </c>
      <c r="F17" s="24" t="s">
        <v>434</v>
      </c>
      <c r="G17" s="24" t="s">
        <v>701</v>
      </c>
      <c r="H17" s="24" t="s">
        <v>669</v>
      </c>
      <c r="I17" s="24" t="s">
        <v>699</v>
      </c>
      <c r="J17" s="24" t="s">
        <v>702</v>
      </c>
    </row>
    <row r="18" spans="1:10" ht="60" x14ac:dyDescent="0.25">
      <c r="A18" s="24" t="s">
        <v>236</v>
      </c>
      <c r="B18" s="24" t="s">
        <v>666</v>
      </c>
      <c r="C18" s="24" t="s">
        <v>24</v>
      </c>
      <c r="D18" s="24" t="s">
        <v>101</v>
      </c>
      <c r="E18" s="24" t="s">
        <v>675</v>
      </c>
      <c r="F18" s="24" t="s">
        <v>447</v>
      </c>
      <c r="G18" s="24" t="s">
        <v>703</v>
      </c>
      <c r="H18" s="24" t="s">
        <v>669</v>
      </c>
      <c r="I18" s="24" t="s">
        <v>699</v>
      </c>
      <c r="J18" s="24" t="s">
        <v>704</v>
      </c>
    </row>
    <row r="19" spans="1:10" ht="75" x14ac:dyDescent="0.25">
      <c r="A19" s="24" t="s">
        <v>236</v>
      </c>
      <c r="B19" s="24" t="s">
        <v>666</v>
      </c>
      <c r="C19" s="24" t="s">
        <v>24</v>
      </c>
      <c r="D19" s="24" t="s">
        <v>101</v>
      </c>
      <c r="E19" s="24" t="s">
        <v>678</v>
      </c>
      <c r="F19" s="24" t="s">
        <v>458</v>
      </c>
      <c r="G19" s="24" t="s">
        <v>705</v>
      </c>
      <c r="H19" s="24" t="s">
        <v>669</v>
      </c>
      <c r="I19" s="24" t="s">
        <v>699</v>
      </c>
      <c r="J19" s="24" t="s">
        <v>706</v>
      </c>
    </row>
    <row r="20" spans="1:10" ht="60" x14ac:dyDescent="0.25">
      <c r="A20" s="24" t="s">
        <v>236</v>
      </c>
      <c r="B20" s="24" t="s">
        <v>666</v>
      </c>
      <c r="C20" s="24" t="s">
        <v>24</v>
      </c>
      <c r="D20" s="24" t="s">
        <v>101</v>
      </c>
      <c r="E20" s="24" t="s">
        <v>681</v>
      </c>
      <c r="F20" s="24" t="s">
        <v>471</v>
      </c>
      <c r="G20" s="24" t="s">
        <v>707</v>
      </c>
      <c r="H20" s="24" t="s">
        <v>669</v>
      </c>
      <c r="I20" s="24" t="s">
        <v>699</v>
      </c>
      <c r="J20" s="24" t="s">
        <v>708</v>
      </c>
    </row>
    <row r="21" spans="1:10" ht="75" x14ac:dyDescent="0.25">
      <c r="A21" s="24" t="s">
        <v>236</v>
      </c>
      <c r="B21" s="24" t="s">
        <v>666</v>
      </c>
      <c r="C21" s="24" t="s">
        <v>24</v>
      </c>
      <c r="D21" s="24" t="s">
        <v>101</v>
      </c>
      <c r="E21" s="24" t="s">
        <v>684</v>
      </c>
      <c r="F21" s="24" t="s">
        <v>484</v>
      </c>
      <c r="G21" s="24" t="s">
        <v>709</v>
      </c>
      <c r="H21" s="24" t="s">
        <v>669</v>
      </c>
      <c r="I21" s="24" t="s">
        <v>699</v>
      </c>
      <c r="J21" s="24" t="s">
        <v>710</v>
      </c>
    </row>
    <row r="22" spans="1:10" ht="75" x14ac:dyDescent="0.25">
      <c r="A22" s="24" t="s">
        <v>236</v>
      </c>
      <c r="B22" s="24" t="s">
        <v>666</v>
      </c>
      <c r="C22" s="24" t="s">
        <v>24</v>
      </c>
      <c r="D22" s="24" t="s">
        <v>101</v>
      </c>
      <c r="E22" s="24" t="s">
        <v>687</v>
      </c>
      <c r="F22" s="24" t="s">
        <v>497</v>
      </c>
      <c r="G22" s="24" t="s">
        <v>711</v>
      </c>
      <c r="H22" s="24" t="s">
        <v>669</v>
      </c>
      <c r="I22" s="24" t="s">
        <v>699</v>
      </c>
      <c r="J22" s="24" t="s">
        <v>712</v>
      </c>
    </row>
    <row r="23" spans="1:10" ht="60" x14ac:dyDescent="0.25">
      <c r="A23" s="24" t="s">
        <v>236</v>
      </c>
      <c r="B23" s="24" t="s">
        <v>666</v>
      </c>
      <c r="C23" s="24" t="s">
        <v>102</v>
      </c>
      <c r="D23" s="24" t="s">
        <v>103</v>
      </c>
      <c r="E23" s="24" t="s">
        <v>667</v>
      </c>
      <c r="F23" s="24" t="s">
        <v>421</v>
      </c>
      <c r="G23" s="24" t="s">
        <v>713</v>
      </c>
      <c r="H23" s="24" t="s">
        <v>669</v>
      </c>
      <c r="I23" s="24" t="s">
        <v>714</v>
      </c>
      <c r="J23" s="24" t="s">
        <v>715</v>
      </c>
    </row>
    <row r="24" spans="1:10" ht="60" x14ac:dyDescent="0.25">
      <c r="A24" s="24" t="s">
        <v>236</v>
      </c>
      <c r="B24" s="24" t="s">
        <v>666</v>
      </c>
      <c r="C24" s="24" t="s">
        <v>102</v>
      </c>
      <c r="D24" s="24" t="s">
        <v>103</v>
      </c>
      <c r="E24" s="24" t="s">
        <v>672</v>
      </c>
      <c r="F24" s="24" t="s">
        <v>434</v>
      </c>
      <c r="G24" s="24" t="s">
        <v>716</v>
      </c>
      <c r="H24" s="24" t="s">
        <v>669</v>
      </c>
      <c r="I24" s="24" t="s">
        <v>714</v>
      </c>
      <c r="J24" s="24" t="s">
        <v>717</v>
      </c>
    </row>
    <row r="25" spans="1:10" ht="60" x14ac:dyDescent="0.25">
      <c r="A25" s="24" t="s">
        <v>236</v>
      </c>
      <c r="B25" s="24" t="s">
        <v>666</v>
      </c>
      <c r="C25" s="24" t="s">
        <v>102</v>
      </c>
      <c r="D25" s="24" t="s">
        <v>103</v>
      </c>
      <c r="E25" s="24" t="s">
        <v>675</v>
      </c>
      <c r="F25" s="24" t="s">
        <v>447</v>
      </c>
      <c r="G25" s="24" t="s">
        <v>718</v>
      </c>
      <c r="H25" s="24" t="s">
        <v>669</v>
      </c>
      <c r="I25" s="24" t="s">
        <v>714</v>
      </c>
      <c r="J25" s="24" t="s">
        <v>719</v>
      </c>
    </row>
    <row r="26" spans="1:10" ht="60" x14ac:dyDescent="0.25">
      <c r="A26" s="24" t="s">
        <v>236</v>
      </c>
      <c r="B26" s="24" t="s">
        <v>666</v>
      </c>
      <c r="C26" s="24" t="s">
        <v>102</v>
      </c>
      <c r="D26" s="24" t="s">
        <v>103</v>
      </c>
      <c r="E26" s="24" t="s">
        <v>678</v>
      </c>
      <c r="F26" s="24" t="s">
        <v>458</v>
      </c>
      <c r="G26" s="24" t="s">
        <v>720</v>
      </c>
      <c r="H26" s="24" t="s">
        <v>669</v>
      </c>
      <c r="I26" s="24" t="s">
        <v>714</v>
      </c>
      <c r="J26" s="24" t="s">
        <v>721</v>
      </c>
    </row>
    <row r="27" spans="1:10" ht="60" x14ac:dyDescent="0.25">
      <c r="A27" s="24" t="s">
        <v>236</v>
      </c>
      <c r="B27" s="24" t="s">
        <v>666</v>
      </c>
      <c r="C27" s="24" t="s">
        <v>102</v>
      </c>
      <c r="D27" s="24" t="s">
        <v>103</v>
      </c>
      <c r="E27" s="24" t="s">
        <v>681</v>
      </c>
      <c r="F27" s="24" t="s">
        <v>471</v>
      </c>
      <c r="G27" s="24" t="s">
        <v>722</v>
      </c>
      <c r="H27" s="24" t="s">
        <v>669</v>
      </c>
      <c r="I27" s="24" t="s">
        <v>714</v>
      </c>
      <c r="J27" s="24" t="s">
        <v>723</v>
      </c>
    </row>
    <row r="28" spans="1:10" ht="60" x14ac:dyDescent="0.25">
      <c r="A28" s="24" t="s">
        <v>236</v>
      </c>
      <c r="B28" s="24" t="s">
        <v>666</v>
      </c>
      <c r="C28" s="24" t="s">
        <v>102</v>
      </c>
      <c r="D28" s="24" t="s">
        <v>103</v>
      </c>
      <c r="E28" s="24" t="s">
        <v>684</v>
      </c>
      <c r="F28" s="24" t="s">
        <v>484</v>
      </c>
      <c r="G28" s="24" t="s">
        <v>724</v>
      </c>
      <c r="H28" s="24" t="s">
        <v>669</v>
      </c>
      <c r="I28" s="24" t="s">
        <v>714</v>
      </c>
      <c r="J28" s="24" t="s">
        <v>725</v>
      </c>
    </row>
    <row r="29" spans="1:10" ht="75" x14ac:dyDescent="0.25">
      <c r="A29" s="24" t="s">
        <v>236</v>
      </c>
      <c r="B29" s="24" t="s">
        <v>666</v>
      </c>
      <c r="C29" s="24" t="s">
        <v>102</v>
      </c>
      <c r="D29" s="24" t="s">
        <v>103</v>
      </c>
      <c r="E29" s="24" t="s">
        <v>687</v>
      </c>
      <c r="F29" s="24" t="s">
        <v>497</v>
      </c>
      <c r="G29" s="24" t="s">
        <v>726</v>
      </c>
      <c r="H29" s="24" t="s">
        <v>669</v>
      </c>
      <c r="I29" s="24" t="s">
        <v>714</v>
      </c>
      <c r="J29" s="24" t="s">
        <v>727</v>
      </c>
    </row>
    <row r="30" spans="1:10" ht="60" x14ac:dyDescent="0.25">
      <c r="A30" s="24" t="s">
        <v>236</v>
      </c>
      <c r="B30" s="24" t="s">
        <v>666</v>
      </c>
      <c r="C30" s="24" t="s">
        <v>105</v>
      </c>
      <c r="D30" s="24" t="s">
        <v>239</v>
      </c>
      <c r="E30" s="24" t="s">
        <v>667</v>
      </c>
      <c r="F30" s="24" t="s">
        <v>421</v>
      </c>
      <c r="G30" s="24" t="s">
        <v>728</v>
      </c>
      <c r="H30" s="24" t="s">
        <v>669</v>
      </c>
      <c r="I30" s="24" t="s">
        <v>729</v>
      </c>
      <c r="J30" s="24" t="s">
        <v>730</v>
      </c>
    </row>
    <row r="31" spans="1:10" ht="60" x14ac:dyDescent="0.25">
      <c r="A31" s="24" t="s">
        <v>236</v>
      </c>
      <c r="B31" s="24" t="s">
        <v>666</v>
      </c>
      <c r="C31" s="24" t="s">
        <v>105</v>
      </c>
      <c r="D31" s="24" t="s">
        <v>239</v>
      </c>
      <c r="E31" s="24" t="s">
        <v>672</v>
      </c>
      <c r="F31" s="24" t="s">
        <v>434</v>
      </c>
      <c r="G31" s="24" t="s">
        <v>731</v>
      </c>
      <c r="H31" s="24" t="s">
        <v>669</v>
      </c>
      <c r="I31" s="24" t="s">
        <v>729</v>
      </c>
      <c r="J31" s="24" t="s">
        <v>732</v>
      </c>
    </row>
    <row r="32" spans="1:10" ht="60" x14ac:dyDescent="0.25">
      <c r="A32" s="24" t="s">
        <v>236</v>
      </c>
      <c r="B32" s="24" t="s">
        <v>666</v>
      </c>
      <c r="C32" s="24" t="s">
        <v>105</v>
      </c>
      <c r="D32" s="24" t="s">
        <v>239</v>
      </c>
      <c r="E32" s="24" t="s">
        <v>675</v>
      </c>
      <c r="F32" s="24" t="s">
        <v>447</v>
      </c>
      <c r="G32" s="24" t="s">
        <v>733</v>
      </c>
      <c r="H32" s="24" t="s">
        <v>669</v>
      </c>
      <c r="I32" s="24" t="s">
        <v>729</v>
      </c>
      <c r="J32" s="24" t="s">
        <v>734</v>
      </c>
    </row>
    <row r="33" spans="1:10" ht="75" x14ac:dyDescent="0.25">
      <c r="A33" s="24" t="s">
        <v>236</v>
      </c>
      <c r="B33" s="24" t="s">
        <v>666</v>
      </c>
      <c r="C33" s="24" t="s">
        <v>105</v>
      </c>
      <c r="D33" s="24" t="s">
        <v>239</v>
      </c>
      <c r="E33" s="24" t="s">
        <v>678</v>
      </c>
      <c r="F33" s="24" t="s">
        <v>458</v>
      </c>
      <c r="G33" s="24" t="s">
        <v>735</v>
      </c>
      <c r="H33" s="24" t="s">
        <v>669</v>
      </c>
      <c r="I33" s="24" t="s">
        <v>729</v>
      </c>
      <c r="J33" s="24" t="s">
        <v>736</v>
      </c>
    </row>
    <row r="34" spans="1:10" ht="75" x14ac:dyDescent="0.25">
      <c r="A34" s="24" t="s">
        <v>236</v>
      </c>
      <c r="B34" s="24" t="s">
        <v>666</v>
      </c>
      <c r="C34" s="24" t="s">
        <v>105</v>
      </c>
      <c r="D34" s="24" t="s">
        <v>239</v>
      </c>
      <c r="E34" s="24" t="s">
        <v>681</v>
      </c>
      <c r="F34" s="24" t="s">
        <v>471</v>
      </c>
      <c r="G34" s="24" t="s">
        <v>737</v>
      </c>
      <c r="H34" s="24" t="s">
        <v>669</v>
      </c>
      <c r="I34" s="24" t="s">
        <v>729</v>
      </c>
      <c r="J34" s="24" t="s">
        <v>738</v>
      </c>
    </row>
    <row r="35" spans="1:10" ht="75" x14ac:dyDescent="0.25">
      <c r="A35" s="24" t="s">
        <v>236</v>
      </c>
      <c r="B35" s="24" t="s">
        <v>666</v>
      </c>
      <c r="C35" s="24" t="s">
        <v>105</v>
      </c>
      <c r="D35" s="24" t="s">
        <v>239</v>
      </c>
      <c r="E35" s="24" t="s">
        <v>684</v>
      </c>
      <c r="F35" s="24" t="s">
        <v>484</v>
      </c>
      <c r="G35" s="24" t="s">
        <v>739</v>
      </c>
      <c r="H35" s="24" t="s">
        <v>669</v>
      </c>
      <c r="I35" s="24" t="s">
        <v>729</v>
      </c>
      <c r="J35" s="24" t="s">
        <v>740</v>
      </c>
    </row>
    <row r="36" spans="1:10" ht="75" x14ac:dyDescent="0.25">
      <c r="A36" s="24" t="s">
        <v>236</v>
      </c>
      <c r="B36" s="24" t="s">
        <v>666</v>
      </c>
      <c r="C36" s="24" t="s">
        <v>105</v>
      </c>
      <c r="D36" s="24" t="s">
        <v>239</v>
      </c>
      <c r="E36" s="24" t="s">
        <v>687</v>
      </c>
      <c r="F36" s="24" t="s">
        <v>497</v>
      </c>
      <c r="G36" s="24" t="s">
        <v>741</v>
      </c>
      <c r="H36" s="24" t="s">
        <v>669</v>
      </c>
      <c r="I36" s="24" t="s">
        <v>729</v>
      </c>
      <c r="J36" s="24" t="s">
        <v>742</v>
      </c>
    </row>
    <row r="37" spans="1:10" ht="60" x14ac:dyDescent="0.25">
      <c r="A37" s="24" t="s">
        <v>241</v>
      </c>
      <c r="B37" s="24" t="s">
        <v>666</v>
      </c>
      <c r="C37" s="24" t="s">
        <v>242</v>
      </c>
      <c r="D37" s="24" t="s">
        <v>101</v>
      </c>
      <c r="E37" s="24" t="s">
        <v>667</v>
      </c>
      <c r="F37" s="24" t="s">
        <v>421</v>
      </c>
      <c r="G37" s="24" t="s">
        <v>743</v>
      </c>
      <c r="H37" s="24" t="s">
        <v>669</v>
      </c>
      <c r="I37" s="24" t="s">
        <v>744</v>
      </c>
      <c r="J37" s="24" t="s">
        <v>700</v>
      </c>
    </row>
    <row r="38" spans="1:10" ht="60" x14ac:dyDescent="0.25">
      <c r="A38" s="24" t="s">
        <v>241</v>
      </c>
      <c r="B38" s="24" t="s">
        <v>666</v>
      </c>
      <c r="C38" s="24" t="s">
        <v>242</v>
      </c>
      <c r="D38" s="24" t="s">
        <v>101</v>
      </c>
      <c r="E38" s="24" t="s">
        <v>672</v>
      </c>
      <c r="F38" s="24" t="s">
        <v>434</v>
      </c>
      <c r="G38" s="24" t="s">
        <v>745</v>
      </c>
      <c r="H38" s="24" t="s">
        <v>669</v>
      </c>
      <c r="I38" s="24" t="s">
        <v>744</v>
      </c>
      <c r="J38" s="24" t="s">
        <v>702</v>
      </c>
    </row>
    <row r="39" spans="1:10" ht="60" x14ac:dyDescent="0.25">
      <c r="A39" s="24" t="s">
        <v>241</v>
      </c>
      <c r="B39" s="24" t="s">
        <v>666</v>
      </c>
      <c r="C39" s="24" t="s">
        <v>242</v>
      </c>
      <c r="D39" s="24" t="s">
        <v>101</v>
      </c>
      <c r="E39" s="24" t="s">
        <v>675</v>
      </c>
      <c r="F39" s="24" t="s">
        <v>447</v>
      </c>
      <c r="G39" s="24" t="s">
        <v>746</v>
      </c>
      <c r="H39" s="24" t="s">
        <v>669</v>
      </c>
      <c r="I39" s="24" t="s">
        <v>744</v>
      </c>
      <c r="J39" s="24" t="s">
        <v>704</v>
      </c>
    </row>
    <row r="40" spans="1:10" ht="75" x14ac:dyDescent="0.25">
      <c r="A40" s="24" t="s">
        <v>241</v>
      </c>
      <c r="B40" s="24" t="s">
        <v>666</v>
      </c>
      <c r="C40" s="24" t="s">
        <v>242</v>
      </c>
      <c r="D40" s="24" t="s">
        <v>101</v>
      </c>
      <c r="E40" s="24" t="s">
        <v>678</v>
      </c>
      <c r="F40" s="24" t="s">
        <v>458</v>
      </c>
      <c r="G40" s="24" t="s">
        <v>747</v>
      </c>
      <c r="H40" s="24" t="s">
        <v>669</v>
      </c>
      <c r="I40" s="24" t="s">
        <v>744</v>
      </c>
      <c r="J40" s="24" t="s">
        <v>706</v>
      </c>
    </row>
    <row r="41" spans="1:10" ht="75" x14ac:dyDescent="0.25">
      <c r="A41" s="24" t="s">
        <v>241</v>
      </c>
      <c r="B41" s="24" t="s">
        <v>666</v>
      </c>
      <c r="C41" s="24" t="s">
        <v>242</v>
      </c>
      <c r="D41" s="24" t="s">
        <v>101</v>
      </c>
      <c r="E41" s="24" t="s">
        <v>681</v>
      </c>
      <c r="F41" s="24" t="s">
        <v>471</v>
      </c>
      <c r="G41" s="24" t="s">
        <v>748</v>
      </c>
      <c r="H41" s="24" t="s">
        <v>669</v>
      </c>
      <c r="I41" s="24" t="s">
        <v>744</v>
      </c>
      <c r="J41" s="24" t="s">
        <v>708</v>
      </c>
    </row>
    <row r="42" spans="1:10" ht="75" x14ac:dyDescent="0.25">
      <c r="A42" s="24" t="s">
        <v>241</v>
      </c>
      <c r="B42" s="24" t="s">
        <v>666</v>
      </c>
      <c r="C42" s="24" t="s">
        <v>242</v>
      </c>
      <c r="D42" s="24" t="s">
        <v>101</v>
      </c>
      <c r="E42" s="24" t="s">
        <v>684</v>
      </c>
      <c r="F42" s="24" t="s">
        <v>484</v>
      </c>
      <c r="G42" s="24" t="s">
        <v>749</v>
      </c>
      <c r="H42" s="24" t="s">
        <v>669</v>
      </c>
      <c r="I42" s="24" t="s">
        <v>744</v>
      </c>
      <c r="J42" s="24" t="s">
        <v>710</v>
      </c>
    </row>
    <row r="43" spans="1:10" ht="75" x14ac:dyDescent="0.25">
      <c r="A43" s="24" t="s">
        <v>241</v>
      </c>
      <c r="B43" s="24" t="s">
        <v>666</v>
      </c>
      <c r="C43" s="24" t="s">
        <v>242</v>
      </c>
      <c r="D43" s="24" t="s">
        <v>101</v>
      </c>
      <c r="E43" s="24" t="s">
        <v>687</v>
      </c>
      <c r="F43" s="24" t="s">
        <v>497</v>
      </c>
      <c r="G43" s="24" t="s">
        <v>750</v>
      </c>
      <c r="H43" s="24" t="s">
        <v>669</v>
      </c>
      <c r="I43" s="24" t="s">
        <v>744</v>
      </c>
      <c r="J43" s="24" t="s">
        <v>712</v>
      </c>
    </row>
    <row r="44" spans="1:10" ht="60" x14ac:dyDescent="0.25">
      <c r="A44" s="24" t="s">
        <v>241</v>
      </c>
      <c r="B44" s="24" t="s">
        <v>666</v>
      </c>
      <c r="C44" s="24" t="s">
        <v>244</v>
      </c>
      <c r="D44" s="24" t="s">
        <v>245</v>
      </c>
      <c r="E44" s="24" t="s">
        <v>667</v>
      </c>
      <c r="F44" s="24" t="s">
        <v>421</v>
      </c>
      <c r="G44" s="24" t="s">
        <v>751</v>
      </c>
      <c r="H44" s="24" t="s">
        <v>669</v>
      </c>
      <c r="I44" s="24" t="s">
        <v>752</v>
      </c>
      <c r="J44" s="24" t="s">
        <v>671</v>
      </c>
    </row>
    <row r="45" spans="1:10" ht="60" x14ac:dyDescent="0.25">
      <c r="A45" s="24" t="s">
        <v>241</v>
      </c>
      <c r="B45" s="24" t="s">
        <v>666</v>
      </c>
      <c r="C45" s="24" t="s">
        <v>244</v>
      </c>
      <c r="D45" s="24" t="s">
        <v>245</v>
      </c>
      <c r="E45" s="24" t="s">
        <v>672</v>
      </c>
      <c r="F45" s="24" t="s">
        <v>434</v>
      </c>
      <c r="G45" s="24" t="s">
        <v>753</v>
      </c>
      <c r="H45" s="24" t="s">
        <v>669</v>
      </c>
      <c r="I45" s="24" t="s">
        <v>752</v>
      </c>
      <c r="J45" s="24" t="s">
        <v>674</v>
      </c>
    </row>
    <row r="46" spans="1:10" ht="60" x14ac:dyDescent="0.25">
      <c r="A46" s="24" t="s">
        <v>241</v>
      </c>
      <c r="B46" s="24" t="s">
        <v>666</v>
      </c>
      <c r="C46" s="24" t="s">
        <v>244</v>
      </c>
      <c r="D46" s="24" t="s">
        <v>245</v>
      </c>
      <c r="E46" s="24" t="s">
        <v>675</v>
      </c>
      <c r="F46" s="24" t="s">
        <v>447</v>
      </c>
      <c r="G46" s="24" t="s">
        <v>754</v>
      </c>
      <c r="H46" s="24" t="s">
        <v>669</v>
      </c>
      <c r="I46" s="24" t="s">
        <v>752</v>
      </c>
      <c r="J46" s="24" t="s">
        <v>677</v>
      </c>
    </row>
    <row r="47" spans="1:10" ht="60" x14ac:dyDescent="0.25">
      <c r="A47" s="24" t="s">
        <v>241</v>
      </c>
      <c r="B47" s="24" t="s">
        <v>666</v>
      </c>
      <c r="C47" s="24" t="s">
        <v>244</v>
      </c>
      <c r="D47" s="24" t="s">
        <v>245</v>
      </c>
      <c r="E47" s="24" t="s">
        <v>678</v>
      </c>
      <c r="F47" s="24" t="s">
        <v>458</v>
      </c>
      <c r="G47" s="24" t="s">
        <v>755</v>
      </c>
      <c r="H47" s="24" t="s">
        <v>669</v>
      </c>
      <c r="I47" s="24" t="s">
        <v>752</v>
      </c>
      <c r="J47" s="24" t="s">
        <v>680</v>
      </c>
    </row>
    <row r="48" spans="1:10" ht="60" x14ac:dyDescent="0.25">
      <c r="A48" s="24" t="s">
        <v>241</v>
      </c>
      <c r="B48" s="24" t="s">
        <v>666</v>
      </c>
      <c r="C48" s="24" t="s">
        <v>244</v>
      </c>
      <c r="D48" s="24" t="s">
        <v>245</v>
      </c>
      <c r="E48" s="24" t="s">
        <v>681</v>
      </c>
      <c r="F48" s="24" t="s">
        <v>471</v>
      </c>
      <c r="G48" s="24" t="s">
        <v>756</v>
      </c>
      <c r="H48" s="24" t="s">
        <v>669</v>
      </c>
      <c r="I48" s="24" t="s">
        <v>752</v>
      </c>
      <c r="J48" s="24" t="s">
        <v>683</v>
      </c>
    </row>
    <row r="49" spans="1:10" ht="60" x14ac:dyDescent="0.25">
      <c r="A49" s="24" t="s">
        <v>241</v>
      </c>
      <c r="B49" s="24" t="s">
        <v>666</v>
      </c>
      <c r="C49" s="24" t="s">
        <v>244</v>
      </c>
      <c r="D49" s="24" t="s">
        <v>245</v>
      </c>
      <c r="E49" s="24" t="s">
        <v>684</v>
      </c>
      <c r="F49" s="24" t="s">
        <v>484</v>
      </c>
      <c r="G49" s="24" t="s">
        <v>757</v>
      </c>
      <c r="H49" s="24" t="s">
        <v>669</v>
      </c>
      <c r="I49" s="24" t="s">
        <v>752</v>
      </c>
      <c r="J49" s="24" t="s">
        <v>686</v>
      </c>
    </row>
    <row r="50" spans="1:10" ht="60" x14ac:dyDescent="0.25">
      <c r="A50" s="24" t="s">
        <v>241</v>
      </c>
      <c r="B50" s="24" t="s">
        <v>666</v>
      </c>
      <c r="C50" s="24" t="s">
        <v>244</v>
      </c>
      <c r="D50" s="24" t="s">
        <v>245</v>
      </c>
      <c r="E50" s="24" t="s">
        <v>687</v>
      </c>
      <c r="F50" s="24" t="s">
        <v>497</v>
      </c>
      <c r="G50" s="24" t="s">
        <v>758</v>
      </c>
      <c r="H50" s="24" t="s">
        <v>669</v>
      </c>
      <c r="I50" s="24" t="s">
        <v>752</v>
      </c>
      <c r="J50" s="24" t="s">
        <v>689</v>
      </c>
    </row>
    <row r="51" spans="1:10" ht="60" x14ac:dyDescent="0.25">
      <c r="A51" s="24" t="s">
        <v>241</v>
      </c>
      <c r="B51" s="24" t="s">
        <v>666</v>
      </c>
      <c r="C51" s="24" t="s">
        <v>247</v>
      </c>
      <c r="D51" s="24" t="s">
        <v>248</v>
      </c>
      <c r="E51" s="24" t="s">
        <v>667</v>
      </c>
      <c r="F51" s="24" t="s">
        <v>421</v>
      </c>
      <c r="G51" s="24" t="s">
        <v>759</v>
      </c>
      <c r="H51" s="24" t="s">
        <v>669</v>
      </c>
      <c r="I51" s="24" t="s">
        <v>760</v>
      </c>
      <c r="J51" s="24" t="s">
        <v>671</v>
      </c>
    </row>
    <row r="52" spans="1:10" ht="60" x14ac:dyDescent="0.25">
      <c r="A52" s="24" t="s">
        <v>241</v>
      </c>
      <c r="B52" s="24" t="s">
        <v>666</v>
      </c>
      <c r="C52" s="24" t="s">
        <v>247</v>
      </c>
      <c r="D52" s="24" t="s">
        <v>248</v>
      </c>
      <c r="E52" s="24" t="s">
        <v>672</v>
      </c>
      <c r="F52" s="24" t="s">
        <v>434</v>
      </c>
      <c r="G52" s="24" t="s">
        <v>761</v>
      </c>
      <c r="H52" s="24" t="s">
        <v>669</v>
      </c>
      <c r="I52" s="24" t="s">
        <v>760</v>
      </c>
      <c r="J52" s="24" t="s">
        <v>674</v>
      </c>
    </row>
    <row r="53" spans="1:10" ht="60" x14ac:dyDescent="0.25">
      <c r="A53" s="24" t="s">
        <v>241</v>
      </c>
      <c r="B53" s="24" t="s">
        <v>666</v>
      </c>
      <c r="C53" s="24" t="s">
        <v>247</v>
      </c>
      <c r="D53" s="24" t="s">
        <v>248</v>
      </c>
      <c r="E53" s="24" t="s">
        <v>675</v>
      </c>
      <c r="F53" s="24" t="s">
        <v>447</v>
      </c>
      <c r="G53" s="24" t="s">
        <v>762</v>
      </c>
      <c r="H53" s="24" t="s">
        <v>669</v>
      </c>
      <c r="I53" s="24" t="s">
        <v>760</v>
      </c>
      <c r="J53" s="24" t="s">
        <v>677</v>
      </c>
    </row>
    <row r="54" spans="1:10" ht="75" x14ac:dyDescent="0.25">
      <c r="A54" s="24" t="s">
        <v>241</v>
      </c>
      <c r="B54" s="24" t="s">
        <v>666</v>
      </c>
      <c r="C54" s="24" t="s">
        <v>247</v>
      </c>
      <c r="D54" s="24" t="s">
        <v>248</v>
      </c>
      <c r="E54" s="24" t="s">
        <v>678</v>
      </c>
      <c r="F54" s="24" t="s">
        <v>458</v>
      </c>
      <c r="G54" s="24" t="s">
        <v>763</v>
      </c>
      <c r="H54" s="24" t="s">
        <v>669</v>
      </c>
      <c r="I54" s="24" t="s">
        <v>760</v>
      </c>
      <c r="J54" s="24" t="s">
        <v>680</v>
      </c>
    </row>
    <row r="55" spans="1:10" ht="60" x14ac:dyDescent="0.25">
      <c r="A55" s="24" t="s">
        <v>241</v>
      </c>
      <c r="B55" s="24" t="s">
        <v>666</v>
      </c>
      <c r="C55" s="24" t="s">
        <v>247</v>
      </c>
      <c r="D55" s="24" t="s">
        <v>248</v>
      </c>
      <c r="E55" s="24" t="s">
        <v>681</v>
      </c>
      <c r="F55" s="24" t="s">
        <v>471</v>
      </c>
      <c r="G55" s="24" t="s">
        <v>764</v>
      </c>
      <c r="H55" s="24" t="s">
        <v>669</v>
      </c>
      <c r="I55" s="24" t="s">
        <v>760</v>
      </c>
      <c r="J55" s="24" t="s">
        <v>683</v>
      </c>
    </row>
    <row r="56" spans="1:10" ht="75" x14ac:dyDescent="0.25">
      <c r="A56" s="24" t="s">
        <v>241</v>
      </c>
      <c r="B56" s="24" t="s">
        <v>666</v>
      </c>
      <c r="C56" s="24" t="s">
        <v>247</v>
      </c>
      <c r="D56" s="24" t="s">
        <v>248</v>
      </c>
      <c r="E56" s="24" t="s">
        <v>684</v>
      </c>
      <c r="F56" s="24" t="s">
        <v>484</v>
      </c>
      <c r="G56" s="24" t="s">
        <v>765</v>
      </c>
      <c r="H56" s="24" t="s">
        <v>669</v>
      </c>
      <c r="I56" s="24" t="s">
        <v>760</v>
      </c>
      <c r="J56" s="24" t="s">
        <v>686</v>
      </c>
    </row>
    <row r="57" spans="1:10" ht="75" x14ac:dyDescent="0.25">
      <c r="A57" s="24" t="s">
        <v>241</v>
      </c>
      <c r="B57" s="24" t="s">
        <v>666</v>
      </c>
      <c r="C57" s="24" t="s">
        <v>247</v>
      </c>
      <c r="D57" s="24" t="s">
        <v>248</v>
      </c>
      <c r="E57" s="24" t="s">
        <v>687</v>
      </c>
      <c r="F57" s="24" t="s">
        <v>497</v>
      </c>
      <c r="G57" s="24" t="s">
        <v>766</v>
      </c>
      <c r="H57" s="24" t="s">
        <v>669</v>
      </c>
      <c r="I57" s="24" t="s">
        <v>760</v>
      </c>
      <c r="J57" s="24" t="s">
        <v>689</v>
      </c>
    </row>
    <row r="58" spans="1:10" ht="60" x14ac:dyDescent="0.25">
      <c r="A58" s="24" t="s">
        <v>241</v>
      </c>
      <c r="B58" s="24" t="s">
        <v>666</v>
      </c>
      <c r="C58" s="24" t="s">
        <v>250</v>
      </c>
      <c r="D58" s="24" t="s">
        <v>251</v>
      </c>
      <c r="E58" s="24" t="s">
        <v>667</v>
      </c>
      <c r="F58" s="24" t="s">
        <v>421</v>
      </c>
      <c r="G58" s="24" t="s">
        <v>767</v>
      </c>
      <c r="H58" s="24" t="s">
        <v>669</v>
      </c>
      <c r="I58" s="24" t="s">
        <v>768</v>
      </c>
      <c r="J58" s="24" t="s">
        <v>715</v>
      </c>
    </row>
    <row r="59" spans="1:10" ht="60" x14ac:dyDescent="0.25">
      <c r="A59" s="24" t="s">
        <v>241</v>
      </c>
      <c r="B59" s="24" t="s">
        <v>666</v>
      </c>
      <c r="C59" s="24" t="s">
        <v>250</v>
      </c>
      <c r="D59" s="24" t="s">
        <v>251</v>
      </c>
      <c r="E59" s="24" t="s">
        <v>672</v>
      </c>
      <c r="F59" s="24" t="s">
        <v>434</v>
      </c>
      <c r="G59" s="24" t="s">
        <v>769</v>
      </c>
      <c r="H59" s="24" t="s">
        <v>669</v>
      </c>
      <c r="I59" s="24" t="s">
        <v>768</v>
      </c>
      <c r="J59" s="24" t="s">
        <v>717</v>
      </c>
    </row>
    <row r="60" spans="1:10" ht="60" x14ac:dyDescent="0.25">
      <c r="A60" s="24" t="s">
        <v>241</v>
      </c>
      <c r="B60" s="24" t="s">
        <v>666</v>
      </c>
      <c r="C60" s="24" t="s">
        <v>250</v>
      </c>
      <c r="D60" s="24" t="s">
        <v>251</v>
      </c>
      <c r="E60" s="24" t="s">
        <v>675</v>
      </c>
      <c r="F60" s="24" t="s">
        <v>447</v>
      </c>
      <c r="G60" s="24" t="s">
        <v>770</v>
      </c>
      <c r="H60" s="24" t="s">
        <v>669</v>
      </c>
      <c r="I60" s="24" t="s">
        <v>768</v>
      </c>
      <c r="J60" s="24" t="s">
        <v>719</v>
      </c>
    </row>
    <row r="61" spans="1:10" ht="60" x14ac:dyDescent="0.25">
      <c r="A61" s="24" t="s">
        <v>241</v>
      </c>
      <c r="B61" s="24" t="s">
        <v>666</v>
      </c>
      <c r="C61" s="24" t="s">
        <v>250</v>
      </c>
      <c r="D61" s="24" t="s">
        <v>251</v>
      </c>
      <c r="E61" s="24" t="s">
        <v>678</v>
      </c>
      <c r="F61" s="24" t="s">
        <v>458</v>
      </c>
      <c r="G61" s="24" t="s">
        <v>771</v>
      </c>
      <c r="H61" s="24" t="s">
        <v>669</v>
      </c>
      <c r="I61" s="24" t="s">
        <v>768</v>
      </c>
      <c r="J61" s="24" t="s">
        <v>721</v>
      </c>
    </row>
    <row r="62" spans="1:10" ht="60" x14ac:dyDescent="0.25">
      <c r="A62" s="24" t="s">
        <v>241</v>
      </c>
      <c r="B62" s="24" t="s">
        <v>666</v>
      </c>
      <c r="C62" s="24" t="s">
        <v>250</v>
      </c>
      <c r="D62" s="24" t="s">
        <v>251</v>
      </c>
      <c r="E62" s="24" t="s">
        <v>681</v>
      </c>
      <c r="F62" s="24" t="s">
        <v>471</v>
      </c>
      <c r="G62" s="24" t="s">
        <v>772</v>
      </c>
      <c r="H62" s="24" t="s">
        <v>669</v>
      </c>
      <c r="I62" s="24" t="s">
        <v>768</v>
      </c>
      <c r="J62" s="24" t="s">
        <v>723</v>
      </c>
    </row>
    <row r="63" spans="1:10" ht="60" x14ac:dyDescent="0.25">
      <c r="A63" s="24" t="s">
        <v>241</v>
      </c>
      <c r="B63" s="24" t="s">
        <v>666</v>
      </c>
      <c r="C63" s="24" t="s">
        <v>250</v>
      </c>
      <c r="D63" s="24" t="s">
        <v>251</v>
      </c>
      <c r="E63" s="24" t="s">
        <v>684</v>
      </c>
      <c r="F63" s="24" t="s">
        <v>484</v>
      </c>
      <c r="G63" s="24" t="s">
        <v>773</v>
      </c>
      <c r="H63" s="24" t="s">
        <v>669</v>
      </c>
      <c r="I63" s="24" t="s">
        <v>768</v>
      </c>
      <c r="J63" s="24" t="s">
        <v>725</v>
      </c>
    </row>
    <row r="64" spans="1:10" ht="60" x14ac:dyDescent="0.25">
      <c r="A64" s="24" t="s">
        <v>241</v>
      </c>
      <c r="B64" s="24" t="s">
        <v>666</v>
      </c>
      <c r="C64" s="24" t="s">
        <v>250</v>
      </c>
      <c r="D64" s="24" t="s">
        <v>251</v>
      </c>
      <c r="E64" s="24" t="s">
        <v>687</v>
      </c>
      <c r="F64" s="24" t="s">
        <v>497</v>
      </c>
      <c r="G64" s="24" t="s">
        <v>774</v>
      </c>
      <c r="H64" s="24" t="s">
        <v>669</v>
      </c>
      <c r="I64" s="24" t="s">
        <v>768</v>
      </c>
      <c r="J64" s="24" t="s">
        <v>727</v>
      </c>
    </row>
    <row r="65" spans="1:10" ht="60" x14ac:dyDescent="0.25">
      <c r="A65" s="24" t="s">
        <v>241</v>
      </c>
      <c r="B65" s="24" t="s">
        <v>666</v>
      </c>
      <c r="C65" s="24" t="s">
        <v>253</v>
      </c>
      <c r="D65" s="24" t="s">
        <v>254</v>
      </c>
      <c r="E65" s="24" t="s">
        <v>667</v>
      </c>
      <c r="F65" s="24" t="s">
        <v>421</v>
      </c>
      <c r="G65" s="24" t="s">
        <v>775</v>
      </c>
      <c r="H65" s="24" t="s">
        <v>669</v>
      </c>
      <c r="I65" s="24" t="s">
        <v>776</v>
      </c>
      <c r="J65" s="24" t="s">
        <v>777</v>
      </c>
    </row>
    <row r="66" spans="1:10" ht="60" x14ac:dyDescent="0.25">
      <c r="A66" s="24" t="s">
        <v>241</v>
      </c>
      <c r="B66" s="24" t="s">
        <v>666</v>
      </c>
      <c r="C66" s="24" t="s">
        <v>253</v>
      </c>
      <c r="D66" s="24" t="s">
        <v>254</v>
      </c>
      <c r="E66" s="24" t="s">
        <v>672</v>
      </c>
      <c r="F66" s="24" t="s">
        <v>434</v>
      </c>
      <c r="G66" s="24" t="s">
        <v>778</v>
      </c>
      <c r="H66" s="24" t="s">
        <v>669</v>
      </c>
      <c r="I66" s="24" t="s">
        <v>776</v>
      </c>
      <c r="J66" s="24" t="s">
        <v>779</v>
      </c>
    </row>
    <row r="67" spans="1:10" ht="60" x14ac:dyDescent="0.25">
      <c r="A67" s="24" t="s">
        <v>241</v>
      </c>
      <c r="B67" s="24" t="s">
        <v>666</v>
      </c>
      <c r="C67" s="24" t="s">
        <v>253</v>
      </c>
      <c r="D67" s="24" t="s">
        <v>254</v>
      </c>
      <c r="E67" s="24" t="s">
        <v>675</v>
      </c>
      <c r="F67" s="24" t="s">
        <v>447</v>
      </c>
      <c r="G67" s="24" t="s">
        <v>780</v>
      </c>
      <c r="H67" s="24" t="s">
        <v>669</v>
      </c>
      <c r="I67" s="24" t="s">
        <v>776</v>
      </c>
      <c r="J67" s="24" t="s">
        <v>781</v>
      </c>
    </row>
    <row r="68" spans="1:10" ht="60" x14ac:dyDescent="0.25">
      <c r="A68" s="24" t="s">
        <v>241</v>
      </c>
      <c r="B68" s="24" t="s">
        <v>666</v>
      </c>
      <c r="C68" s="24" t="s">
        <v>253</v>
      </c>
      <c r="D68" s="24" t="s">
        <v>254</v>
      </c>
      <c r="E68" s="24" t="s">
        <v>678</v>
      </c>
      <c r="F68" s="24" t="s">
        <v>458</v>
      </c>
      <c r="G68" s="24" t="s">
        <v>782</v>
      </c>
      <c r="H68" s="24" t="s">
        <v>669</v>
      </c>
      <c r="I68" s="24" t="s">
        <v>776</v>
      </c>
      <c r="J68" s="24" t="s">
        <v>783</v>
      </c>
    </row>
    <row r="69" spans="1:10" ht="60" x14ac:dyDescent="0.25">
      <c r="A69" s="24" t="s">
        <v>241</v>
      </c>
      <c r="B69" s="24" t="s">
        <v>666</v>
      </c>
      <c r="C69" s="24" t="s">
        <v>253</v>
      </c>
      <c r="D69" s="24" t="s">
        <v>254</v>
      </c>
      <c r="E69" s="24" t="s">
        <v>681</v>
      </c>
      <c r="F69" s="24" t="s">
        <v>471</v>
      </c>
      <c r="G69" s="24" t="s">
        <v>784</v>
      </c>
      <c r="H69" s="24" t="s">
        <v>669</v>
      </c>
      <c r="I69" s="24" t="s">
        <v>776</v>
      </c>
      <c r="J69" s="24" t="s">
        <v>785</v>
      </c>
    </row>
    <row r="70" spans="1:10" ht="60" x14ac:dyDescent="0.25">
      <c r="A70" s="24" t="s">
        <v>241</v>
      </c>
      <c r="B70" s="24" t="s">
        <v>666</v>
      </c>
      <c r="C70" s="24" t="s">
        <v>253</v>
      </c>
      <c r="D70" s="24" t="s">
        <v>254</v>
      </c>
      <c r="E70" s="24" t="s">
        <v>684</v>
      </c>
      <c r="F70" s="24" t="s">
        <v>484</v>
      </c>
      <c r="G70" s="24" t="s">
        <v>786</v>
      </c>
      <c r="H70" s="24" t="s">
        <v>669</v>
      </c>
      <c r="I70" s="24" t="s">
        <v>776</v>
      </c>
      <c r="J70" s="24" t="s">
        <v>787</v>
      </c>
    </row>
    <row r="71" spans="1:10" ht="75" x14ac:dyDescent="0.25">
      <c r="A71" s="24" t="s">
        <v>241</v>
      </c>
      <c r="B71" s="24" t="s">
        <v>666</v>
      </c>
      <c r="C71" s="24" t="s">
        <v>253</v>
      </c>
      <c r="D71" s="24" t="s">
        <v>254</v>
      </c>
      <c r="E71" s="24" t="s">
        <v>687</v>
      </c>
      <c r="F71" s="24" t="s">
        <v>497</v>
      </c>
      <c r="G71" s="24" t="s">
        <v>788</v>
      </c>
      <c r="H71" s="24" t="s">
        <v>669</v>
      </c>
      <c r="I71" s="24" t="s">
        <v>776</v>
      </c>
      <c r="J71" s="24" t="s">
        <v>789</v>
      </c>
    </row>
    <row r="72" spans="1:10" ht="60" x14ac:dyDescent="0.25">
      <c r="A72" s="24" t="s">
        <v>256</v>
      </c>
      <c r="B72" s="24" t="s">
        <v>666</v>
      </c>
      <c r="C72" s="24" t="s">
        <v>257</v>
      </c>
      <c r="D72" s="24" t="s">
        <v>101</v>
      </c>
      <c r="E72" s="24" t="s">
        <v>667</v>
      </c>
      <c r="F72" s="24" t="s">
        <v>421</v>
      </c>
      <c r="G72" s="24" t="s">
        <v>790</v>
      </c>
      <c r="H72" s="24" t="s">
        <v>669</v>
      </c>
      <c r="I72" s="24" t="s">
        <v>791</v>
      </c>
      <c r="J72" s="24" t="s">
        <v>700</v>
      </c>
    </row>
    <row r="73" spans="1:10" ht="60" x14ac:dyDescent="0.25">
      <c r="A73" s="24" t="s">
        <v>256</v>
      </c>
      <c r="B73" s="24" t="s">
        <v>666</v>
      </c>
      <c r="C73" s="24" t="s">
        <v>257</v>
      </c>
      <c r="D73" s="24" t="s">
        <v>101</v>
      </c>
      <c r="E73" s="24" t="s">
        <v>672</v>
      </c>
      <c r="F73" s="24" t="s">
        <v>434</v>
      </c>
      <c r="G73" s="24" t="s">
        <v>792</v>
      </c>
      <c r="H73" s="24" t="s">
        <v>669</v>
      </c>
      <c r="I73" s="24" t="s">
        <v>791</v>
      </c>
      <c r="J73" s="24" t="s">
        <v>702</v>
      </c>
    </row>
    <row r="74" spans="1:10" ht="60" x14ac:dyDescent="0.25">
      <c r="A74" s="24" t="s">
        <v>256</v>
      </c>
      <c r="B74" s="24" t="s">
        <v>666</v>
      </c>
      <c r="C74" s="24" t="s">
        <v>257</v>
      </c>
      <c r="D74" s="24" t="s">
        <v>101</v>
      </c>
      <c r="E74" s="24" t="s">
        <v>675</v>
      </c>
      <c r="F74" s="24" t="s">
        <v>447</v>
      </c>
      <c r="G74" s="24" t="s">
        <v>793</v>
      </c>
      <c r="H74" s="24" t="s">
        <v>669</v>
      </c>
      <c r="I74" s="24" t="s">
        <v>791</v>
      </c>
      <c r="J74" s="24" t="s">
        <v>704</v>
      </c>
    </row>
    <row r="75" spans="1:10" ht="75" x14ac:dyDescent="0.25">
      <c r="A75" s="24" t="s">
        <v>256</v>
      </c>
      <c r="B75" s="24" t="s">
        <v>666</v>
      </c>
      <c r="C75" s="24" t="s">
        <v>257</v>
      </c>
      <c r="D75" s="24" t="s">
        <v>101</v>
      </c>
      <c r="E75" s="24" t="s">
        <v>678</v>
      </c>
      <c r="F75" s="24" t="s">
        <v>458</v>
      </c>
      <c r="G75" s="24" t="s">
        <v>794</v>
      </c>
      <c r="H75" s="24" t="s">
        <v>669</v>
      </c>
      <c r="I75" s="24" t="s">
        <v>791</v>
      </c>
      <c r="J75" s="24" t="s">
        <v>706</v>
      </c>
    </row>
    <row r="76" spans="1:10" ht="75" x14ac:dyDescent="0.25">
      <c r="A76" s="24" t="s">
        <v>256</v>
      </c>
      <c r="B76" s="24" t="s">
        <v>666</v>
      </c>
      <c r="C76" s="24" t="s">
        <v>257</v>
      </c>
      <c r="D76" s="24" t="s">
        <v>101</v>
      </c>
      <c r="E76" s="24" t="s">
        <v>681</v>
      </c>
      <c r="F76" s="24" t="s">
        <v>471</v>
      </c>
      <c r="G76" s="24" t="s">
        <v>795</v>
      </c>
      <c r="H76" s="24" t="s">
        <v>669</v>
      </c>
      <c r="I76" s="24" t="s">
        <v>791</v>
      </c>
      <c r="J76" s="24" t="s">
        <v>708</v>
      </c>
    </row>
    <row r="77" spans="1:10" ht="75" x14ac:dyDescent="0.25">
      <c r="A77" s="24" t="s">
        <v>256</v>
      </c>
      <c r="B77" s="24" t="s">
        <v>666</v>
      </c>
      <c r="C77" s="24" t="s">
        <v>257</v>
      </c>
      <c r="D77" s="24" t="s">
        <v>101</v>
      </c>
      <c r="E77" s="24" t="s">
        <v>684</v>
      </c>
      <c r="F77" s="24" t="s">
        <v>484</v>
      </c>
      <c r="G77" s="24" t="s">
        <v>796</v>
      </c>
      <c r="H77" s="24" t="s">
        <v>669</v>
      </c>
      <c r="I77" s="24" t="s">
        <v>791</v>
      </c>
      <c r="J77" s="24" t="s">
        <v>710</v>
      </c>
    </row>
    <row r="78" spans="1:10" ht="75" x14ac:dyDescent="0.25">
      <c r="A78" s="24" t="s">
        <v>256</v>
      </c>
      <c r="B78" s="24" t="s">
        <v>666</v>
      </c>
      <c r="C78" s="24" t="s">
        <v>257</v>
      </c>
      <c r="D78" s="24" t="s">
        <v>101</v>
      </c>
      <c r="E78" s="24" t="s">
        <v>687</v>
      </c>
      <c r="F78" s="24" t="s">
        <v>497</v>
      </c>
      <c r="G78" s="24" t="s">
        <v>797</v>
      </c>
      <c r="H78" s="24" t="s">
        <v>669</v>
      </c>
      <c r="I78" s="24" t="s">
        <v>791</v>
      </c>
      <c r="J78" s="24" t="s">
        <v>712</v>
      </c>
    </row>
    <row r="79" spans="1:10" ht="60" x14ac:dyDescent="0.25">
      <c r="A79" s="24" t="s">
        <v>256</v>
      </c>
      <c r="B79" s="24" t="s">
        <v>666</v>
      </c>
      <c r="C79" s="24" t="s">
        <v>102</v>
      </c>
      <c r="D79" s="24" t="s">
        <v>103</v>
      </c>
      <c r="E79" s="24" t="s">
        <v>667</v>
      </c>
      <c r="F79" s="24" t="s">
        <v>421</v>
      </c>
      <c r="G79" s="24" t="s">
        <v>798</v>
      </c>
      <c r="H79" s="24" t="s">
        <v>669</v>
      </c>
      <c r="I79" s="24" t="s">
        <v>799</v>
      </c>
      <c r="J79" s="24" t="s">
        <v>715</v>
      </c>
    </row>
    <row r="80" spans="1:10" ht="60" x14ac:dyDescent="0.25">
      <c r="A80" s="24" t="s">
        <v>256</v>
      </c>
      <c r="B80" s="24" t="s">
        <v>666</v>
      </c>
      <c r="C80" s="24" t="s">
        <v>102</v>
      </c>
      <c r="D80" s="24" t="s">
        <v>103</v>
      </c>
      <c r="E80" s="24" t="s">
        <v>672</v>
      </c>
      <c r="F80" s="24" t="s">
        <v>434</v>
      </c>
      <c r="G80" s="24" t="s">
        <v>800</v>
      </c>
      <c r="H80" s="24" t="s">
        <v>669</v>
      </c>
      <c r="I80" s="24" t="s">
        <v>799</v>
      </c>
      <c r="J80" s="24" t="s">
        <v>717</v>
      </c>
    </row>
    <row r="81" spans="1:10" ht="60" x14ac:dyDescent="0.25">
      <c r="A81" s="24" t="s">
        <v>256</v>
      </c>
      <c r="B81" s="24" t="s">
        <v>666</v>
      </c>
      <c r="C81" s="24" t="s">
        <v>102</v>
      </c>
      <c r="D81" s="24" t="s">
        <v>103</v>
      </c>
      <c r="E81" s="24" t="s">
        <v>675</v>
      </c>
      <c r="F81" s="24" t="s">
        <v>447</v>
      </c>
      <c r="G81" s="24" t="s">
        <v>801</v>
      </c>
      <c r="H81" s="24" t="s">
        <v>669</v>
      </c>
      <c r="I81" s="24" t="s">
        <v>799</v>
      </c>
      <c r="J81" s="24" t="s">
        <v>719</v>
      </c>
    </row>
    <row r="82" spans="1:10" ht="60" x14ac:dyDescent="0.25">
      <c r="A82" s="24" t="s">
        <v>256</v>
      </c>
      <c r="B82" s="24" t="s">
        <v>666</v>
      </c>
      <c r="C82" s="24" t="s">
        <v>102</v>
      </c>
      <c r="D82" s="24" t="s">
        <v>103</v>
      </c>
      <c r="E82" s="24" t="s">
        <v>678</v>
      </c>
      <c r="F82" s="24" t="s">
        <v>458</v>
      </c>
      <c r="G82" s="24" t="s">
        <v>802</v>
      </c>
      <c r="H82" s="24" t="s">
        <v>669</v>
      </c>
      <c r="I82" s="24" t="s">
        <v>799</v>
      </c>
      <c r="J82" s="24" t="s">
        <v>721</v>
      </c>
    </row>
    <row r="83" spans="1:10" ht="60" x14ac:dyDescent="0.25">
      <c r="A83" s="24" t="s">
        <v>256</v>
      </c>
      <c r="B83" s="24" t="s">
        <v>666</v>
      </c>
      <c r="C83" s="24" t="s">
        <v>102</v>
      </c>
      <c r="D83" s="24" t="s">
        <v>103</v>
      </c>
      <c r="E83" s="24" t="s">
        <v>681</v>
      </c>
      <c r="F83" s="24" t="s">
        <v>471</v>
      </c>
      <c r="G83" s="24" t="s">
        <v>803</v>
      </c>
      <c r="H83" s="24" t="s">
        <v>669</v>
      </c>
      <c r="I83" s="24" t="s">
        <v>799</v>
      </c>
      <c r="J83" s="24" t="s">
        <v>723</v>
      </c>
    </row>
    <row r="84" spans="1:10" ht="60" x14ac:dyDescent="0.25">
      <c r="A84" s="24" t="s">
        <v>256</v>
      </c>
      <c r="B84" s="24" t="s">
        <v>666</v>
      </c>
      <c r="C84" s="24" t="s">
        <v>102</v>
      </c>
      <c r="D84" s="24" t="s">
        <v>103</v>
      </c>
      <c r="E84" s="24" t="s">
        <v>684</v>
      </c>
      <c r="F84" s="24" t="s">
        <v>484</v>
      </c>
      <c r="G84" s="24" t="s">
        <v>804</v>
      </c>
      <c r="H84" s="24" t="s">
        <v>669</v>
      </c>
      <c r="I84" s="24" t="s">
        <v>799</v>
      </c>
      <c r="J84" s="24" t="s">
        <v>725</v>
      </c>
    </row>
    <row r="85" spans="1:10" ht="60" x14ac:dyDescent="0.25">
      <c r="A85" s="24" t="s">
        <v>256</v>
      </c>
      <c r="B85" s="24" t="s">
        <v>666</v>
      </c>
      <c r="C85" s="24" t="s">
        <v>102</v>
      </c>
      <c r="D85" s="24" t="s">
        <v>103</v>
      </c>
      <c r="E85" s="24" t="s">
        <v>687</v>
      </c>
      <c r="F85" s="24" t="s">
        <v>497</v>
      </c>
      <c r="G85" s="24" t="s">
        <v>805</v>
      </c>
      <c r="H85" s="24" t="s">
        <v>669</v>
      </c>
      <c r="I85" s="24" t="s">
        <v>799</v>
      </c>
      <c r="J85" s="24" t="s">
        <v>727</v>
      </c>
    </row>
    <row r="86" spans="1:10" ht="60" x14ac:dyDescent="0.25">
      <c r="A86" s="24" t="s">
        <v>256</v>
      </c>
      <c r="B86" s="24" t="s">
        <v>666</v>
      </c>
      <c r="C86" s="24" t="s">
        <v>260</v>
      </c>
      <c r="D86" s="24" t="s">
        <v>261</v>
      </c>
      <c r="E86" s="24" t="s">
        <v>667</v>
      </c>
      <c r="F86" s="24" t="s">
        <v>421</v>
      </c>
      <c r="G86" s="24" t="s">
        <v>806</v>
      </c>
      <c r="H86" s="24" t="s">
        <v>669</v>
      </c>
      <c r="I86" s="24" t="s">
        <v>807</v>
      </c>
      <c r="J86" s="24" t="s">
        <v>671</v>
      </c>
    </row>
    <row r="87" spans="1:10" ht="60" x14ac:dyDescent="0.25">
      <c r="A87" s="24" t="s">
        <v>256</v>
      </c>
      <c r="B87" s="24" t="s">
        <v>666</v>
      </c>
      <c r="C87" s="24" t="s">
        <v>260</v>
      </c>
      <c r="D87" s="24" t="s">
        <v>261</v>
      </c>
      <c r="E87" s="24" t="s">
        <v>672</v>
      </c>
      <c r="F87" s="24" t="s">
        <v>434</v>
      </c>
      <c r="G87" s="24" t="s">
        <v>808</v>
      </c>
      <c r="H87" s="24" t="s">
        <v>669</v>
      </c>
      <c r="I87" s="24" t="s">
        <v>807</v>
      </c>
      <c r="J87" s="24" t="s">
        <v>674</v>
      </c>
    </row>
    <row r="88" spans="1:10" ht="60" x14ac:dyDescent="0.25">
      <c r="A88" s="24" t="s">
        <v>256</v>
      </c>
      <c r="B88" s="24" t="s">
        <v>666</v>
      </c>
      <c r="C88" s="24" t="s">
        <v>260</v>
      </c>
      <c r="D88" s="24" t="s">
        <v>261</v>
      </c>
      <c r="E88" s="24" t="s">
        <v>675</v>
      </c>
      <c r="F88" s="24" t="s">
        <v>447</v>
      </c>
      <c r="G88" s="24" t="s">
        <v>809</v>
      </c>
      <c r="H88" s="24" t="s">
        <v>669</v>
      </c>
      <c r="I88" s="24" t="s">
        <v>807</v>
      </c>
      <c r="J88" s="24" t="s">
        <v>677</v>
      </c>
    </row>
    <row r="89" spans="1:10" ht="60" x14ac:dyDescent="0.25">
      <c r="A89" s="24" t="s">
        <v>256</v>
      </c>
      <c r="B89" s="24" t="s">
        <v>666</v>
      </c>
      <c r="C89" s="24" t="s">
        <v>260</v>
      </c>
      <c r="D89" s="24" t="s">
        <v>261</v>
      </c>
      <c r="E89" s="24" t="s">
        <v>678</v>
      </c>
      <c r="F89" s="24" t="s">
        <v>458</v>
      </c>
      <c r="G89" s="24" t="s">
        <v>810</v>
      </c>
      <c r="H89" s="24" t="s">
        <v>669</v>
      </c>
      <c r="I89" s="24" t="s">
        <v>807</v>
      </c>
      <c r="J89" s="24" t="s">
        <v>680</v>
      </c>
    </row>
    <row r="90" spans="1:10" ht="60" x14ac:dyDescent="0.25">
      <c r="A90" s="24" t="s">
        <v>256</v>
      </c>
      <c r="B90" s="24" t="s">
        <v>666</v>
      </c>
      <c r="C90" s="24" t="s">
        <v>260</v>
      </c>
      <c r="D90" s="24" t="s">
        <v>261</v>
      </c>
      <c r="E90" s="24" t="s">
        <v>681</v>
      </c>
      <c r="F90" s="24" t="s">
        <v>471</v>
      </c>
      <c r="G90" s="24" t="s">
        <v>811</v>
      </c>
      <c r="H90" s="24" t="s">
        <v>669</v>
      </c>
      <c r="I90" s="24" t="s">
        <v>807</v>
      </c>
      <c r="J90" s="24" t="s">
        <v>683</v>
      </c>
    </row>
    <row r="91" spans="1:10" ht="60" x14ac:dyDescent="0.25">
      <c r="A91" s="24" t="s">
        <v>256</v>
      </c>
      <c r="B91" s="24" t="s">
        <v>666</v>
      </c>
      <c r="C91" s="24" t="s">
        <v>260</v>
      </c>
      <c r="D91" s="24" t="s">
        <v>261</v>
      </c>
      <c r="E91" s="24" t="s">
        <v>684</v>
      </c>
      <c r="F91" s="24" t="s">
        <v>484</v>
      </c>
      <c r="G91" s="24" t="s">
        <v>812</v>
      </c>
      <c r="H91" s="24" t="s">
        <v>669</v>
      </c>
      <c r="I91" s="24" t="s">
        <v>807</v>
      </c>
      <c r="J91" s="24" t="s">
        <v>686</v>
      </c>
    </row>
    <row r="92" spans="1:10" ht="75" x14ac:dyDescent="0.25">
      <c r="A92" s="24" t="s">
        <v>256</v>
      </c>
      <c r="B92" s="24" t="s">
        <v>666</v>
      </c>
      <c r="C92" s="24" t="s">
        <v>260</v>
      </c>
      <c r="D92" s="24" t="s">
        <v>261</v>
      </c>
      <c r="E92" s="24" t="s">
        <v>687</v>
      </c>
      <c r="F92" s="24" t="s">
        <v>497</v>
      </c>
      <c r="G92" s="24" t="s">
        <v>813</v>
      </c>
      <c r="H92" s="24" t="s">
        <v>669</v>
      </c>
      <c r="I92" s="24" t="s">
        <v>807</v>
      </c>
      <c r="J92" s="24" t="s">
        <v>689</v>
      </c>
    </row>
    <row r="93" spans="1:10" ht="60" x14ac:dyDescent="0.25">
      <c r="A93" s="24" t="s">
        <v>256</v>
      </c>
      <c r="B93" s="24" t="s">
        <v>666</v>
      </c>
      <c r="C93" s="24" t="s">
        <v>263</v>
      </c>
      <c r="D93" s="24" t="s">
        <v>264</v>
      </c>
      <c r="E93" s="24" t="s">
        <v>667</v>
      </c>
      <c r="F93" s="24" t="s">
        <v>421</v>
      </c>
      <c r="G93" s="24" t="s">
        <v>814</v>
      </c>
      <c r="H93" s="24" t="s">
        <v>669</v>
      </c>
      <c r="I93" s="24" t="s">
        <v>815</v>
      </c>
      <c r="J93" s="24" t="s">
        <v>816</v>
      </c>
    </row>
    <row r="94" spans="1:10" ht="60" x14ac:dyDescent="0.25">
      <c r="A94" s="24" t="s">
        <v>256</v>
      </c>
      <c r="B94" s="24" t="s">
        <v>666</v>
      </c>
      <c r="C94" s="24" t="s">
        <v>263</v>
      </c>
      <c r="D94" s="24" t="s">
        <v>264</v>
      </c>
      <c r="E94" s="24" t="s">
        <v>672</v>
      </c>
      <c r="F94" s="24" t="s">
        <v>434</v>
      </c>
      <c r="G94" s="24" t="s">
        <v>817</v>
      </c>
      <c r="H94" s="24" t="s">
        <v>669</v>
      </c>
      <c r="I94" s="24" t="s">
        <v>815</v>
      </c>
      <c r="J94" s="24" t="s">
        <v>818</v>
      </c>
    </row>
    <row r="95" spans="1:10" ht="60" x14ac:dyDescent="0.25">
      <c r="A95" s="24" t="s">
        <v>256</v>
      </c>
      <c r="B95" s="24" t="s">
        <v>666</v>
      </c>
      <c r="C95" s="24" t="s">
        <v>263</v>
      </c>
      <c r="D95" s="24" t="s">
        <v>264</v>
      </c>
      <c r="E95" s="24" t="s">
        <v>675</v>
      </c>
      <c r="F95" s="24" t="s">
        <v>447</v>
      </c>
      <c r="G95" s="24" t="s">
        <v>819</v>
      </c>
      <c r="H95" s="24" t="s">
        <v>669</v>
      </c>
      <c r="I95" s="24" t="s">
        <v>815</v>
      </c>
      <c r="J95" s="24" t="s">
        <v>820</v>
      </c>
    </row>
    <row r="96" spans="1:10" ht="60" x14ac:dyDescent="0.25">
      <c r="A96" s="24" t="s">
        <v>256</v>
      </c>
      <c r="B96" s="24" t="s">
        <v>666</v>
      </c>
      <c r="C96" s="24" t="s">
        <v>263</v>
      </c>
      <c r="D96" s="24" t="s">
        <v>264</v>
      </c>
      <c r="E96" s="24" t="s">
        <v>678</v>
      </c>
      <c r="F96" s="24" t="s">
        <v>458</v>
      </c>
      <c r="G96" s="24" t="s">
        <v>821</v>
      </c>
      <c r="H96" s="24" t="s">
        <v>669</v>
      </c>
      <c r="I96" s="24" t="s">
        <v>815</v>
      </c>
      <c r="J96" s="24" t="s">
        <v>822</v>
      </c>
    </row>
    <row r="97" spans="1:10" ht="60" x14ac:dyDescent="0.25">
      <c r="A97" s="24" t="s">
        <v>256</v>
      </c>
      <c r="B97" s="24" t="s">
        <v>666</v>
      </c>
      <c r="C97" s="24" t="s">
        <v>263</v>
      </c>
      <c r="D97" s="24" t="s">
        <v>264</v>
      </c>
      <c r="E97" s="24" t="s">
        <v>681</v>
      </c>
      <c r="F97" s="24" t="s">
        <v>471</v>
      </c>
      <c r="G97" s="24" t="s">
        <v>823</v>
      </c>
      <c r="H97" s="24" t="s">
        <v>669</v>
      </c>
      <c r="I97" s="24" t="s">
        <v>815</v>
      </c>
      <c r="J97" s="24" t="s">
        <v>824</v>
      </c>
    </row>
    <row r="98" spans="1:10" ht="60" x14ac:dyDescent="0.25">
      <c r="A98" s="24" t="s">
        <v>256</v>
      </c>
      <c r="B98" s="24" t="s">
        <v>666</v>
      </c>
      <c r="C98" s="24" t="s">
        <v>263</v>
      </c>
      <c r="D98" s="24" t="s">
        <v>264</v>
      </c>
      <c r="E98" s="24" t="s">
        <v>684</v>
      </c>
      <c r="F98" s="24" t="s">
        <v>484</v>
      </c>
      <c r="G98" s="24" t="s">
        <v>825</v>
      </c>
      <c r="H98" s="24" t="s">
        <v>669</v>
      </c>
      <c r="I98" s="24" t="s">
        <v>815</v>
      </c>
      <c r="J98" s="24" t="s">
        <v>826</v>
      </c>
    </row>
    <row r="99" spans="1:10" ht="60" x14ac:dyDescent="0.25">
      <c r="A99" s="24" t="s">
        <v>256</v>
      </c>
      <c r="B99" s="24" t="s">
        <v>666</v>
      </c>
      <c r="C99" s="24" t="s">
        <v>263</v>
      </c>
      <c r="D99" s="24" t="s">
        <v>264</v>
      </c>
      <c r="E99" s="24" t="s">
        <v>687</v>
      </c>
      <c r="F99" s="24" t="s">
        <v>497</v>
      </c>
      <c r="G99" s="24" t="s">
        <v>827</v>
      </c>
      <c r="H99" s="24" t="s">
        <v>669</v>
      </c>
      <c r="I99" s="24" t="s">
        <v>815</v>
      </c>
      <c r="J99" s="24" t="s">
        <v>828</v>
      </c>
    </row>
    <row r="100" spans="1:10" ht="60" x14ac:dyDescent="0.25">
      <c r="A100" s="24" t="s">
        <v>256</v>
      </c>
      <c r="B100" s="24" t="s">
        <v>666</v>
      </c>
      <c r="C100" s="24" t="s">
        <v>266</v>
      </c>
      <c r="D100" s="24" t="s">
        <v>267</v>
      </c>
      <c r="E100" s="24" t="s">
        <v>667</v>
      </c>
      <c r="F100" s="24" t="s">
        <v>421</v>
      </c>
      <c r="G100" s="24" t="s">
        <v>829</v>
      </c>
      <c r="H100" s="24" t="s">
        <v>669</v>
      </c>
      <c r="I100" s="24" t="s">
        <v>830</v>
      </c>
      <c r="J100" s="24" t="s">
        <v>831</v>
      </c>
    </row>
    <row r="101" spans="1:10" ht="60" x14ac:dyDescent="0.25">
      <c r="A101" s="24" t="s">
        <v>256</v>
      </c>
      <c r="B101" s="24" t="s">
        <v>666</v>
      </c>
      <c r="C101" s="24" t="s">
        <v>266</v>
      </c>
      <c r="D101" s="24" t="s">
        <v>267</v>
      </c>
      <c r="E101" s="24" t="s">
        <v>672</v>
      </c>
      <c r="F101" s="24" t="s">
        <v>434</v>
      </c>
      <c r="G101" s="24" t="s">
        <v>832</v>
      </c>
      <c r="H101" s="24" t="s">
        <v>669</v>
      </c>
      <c r="I101" s="24" t="s">
        <v>830</v>
      </c>
      <c r="J101" s="24" t="s">
        <v>833</v>
      </c>
    </row>
    <row r="102" spans="1:10" ht="60" x14ac:dyDescent="0.25">
      <c r="A102" s="24" t="s">
        <v>256</v>
      </c>
      <c r="B102" s="24" t="s">
        <v>666</v>
      </c>
      <c r="C102" s="24" t="s">
        <v>266</v>
      </c>
      <c r="D102" s="24" t="s">
        <v>267</v>
      </c>
      <c r="E102" s="24" t="s">
        <v>675</v>
      </c>
      <c r="F102" s="24" t="s">
        <v>447</v>
      </c>
      <c r="G102" s="24" t="s">
        <v>834</v>
      </c>
      <c r="H102" s="24" t="s">
        <v>669</v>
      </c>
      <c r="I102" s="24" t="s">
        <v>830</v>
      </c>
      <c r="J102" s="24" t="s">
        <v>835</v>
      </c>
    </row>
    <row r="103" spans="1:10" ht="60" x14ac:dyDescent="0.25">
      <c r="A103" s="24" t="s">
        <v>256</v>
      </c>
      <c r="B103" s="24" t="s">
        <v>666</v>
      </c>
      <c r="C103" s="24" t="s">
        <v>266</v>
      </c>
      <c r="D103" s="24" t="s">
        <v>267</v>
      </c>
      <c r="E103" s="24" t="s">
        <v>678</v>
      </c>
      <c r="F103" s="24" t="s">
        <v>458</v>
      </c>
      <c r="G103" s="24" t="s">
        <v>836</v>
      </c>
      <c r="H103" s="24" t="s">
        <v>669</v>
      </c>
      <c r="I103" s="24" t="s">
        <v>830</v>
      </c>
      <c r="J103" s="24" t="s">
        <v>837</v>
      </c>
    </row>
    <row r="104" spans="1:10" ht="60" x14ac:dyDescent="0.25">
      <c r="A104" s="24" t="s">
        <v>256</v>
      </c>
      <c r="B104" s="24" t="s">
        <v>666</v>
      </c>
      <c r="C104" s="24" t="s">
        <v>266</v>
      </c>
      <c r="D104" s="24" t="s">
        <v>267</v>
      </c>
      <c r="E104" s="24" t="s">
        <v>681</v>
      </c>
      <c r="F104" s="24" t="s">
        <v>471</v>
      </c>
      <c r="G104" s="24" t="s">
        <v>838</v>
      </c>
      <c r="H104" s="24" t="s">
        <v>669</v>
      </c>
      <c r="I104" s="24" t="s">
        <v>830</v>
      </c>
      <c r="J104" s="24" t="s">
        <v>839</v>
      </c>
    </row>
    <row r="105" spans="1:10" ht="60" x14ac:dyDescent="0.25">
      <c r="A105" s="24" t="s">
        <v>256</v>
      </c>
      <c r="B105" s="24" t="s">
        <v>666</v>
      </c>
      <c r="C105" s="24" t="s">
        <v>266</v>
      </c>
      <c r="D105" s="24" t="s">
        <v>267</v>
      </c>
      <c r="E105" s="24" t="s">
        <v>684</v>
      </c>
      <c r="F105" s="24" t="s">
        <v>484</v>
      </c>
      <c r="G105" s="24" t="s">
        <v>840</v>
      </c>
      <c r="H105" s="24" t="s">
        <v>669</v>
      </c>
      <c r="I105" s="24" t="s">
        <v>830</v>
      </c>
      <c r="J105" s="24" t="s">
        <v>841</v>
      </c>
    </row>
    <row r="106" spans="1:10" ht="75" x14ac:dyDescent="0.25">
      <c r="A106" s="24" t="s">
        <v>256</v>
      </c>
      <c r="B106" s="24" t="s">
        <v>666</v>
      </c>
      <c r="C106" s="24" t="s">
        <v>266</v>
      </c>
      <c r="D106" s="24" t="s">
        <v>267</v>
      </c>
      <c r="E106" s="24" t="s">
        <v>687</v>
      </c>
      <c r="F106" s="24" t="s">
        <v>497</v>
      </c>
      <c r="G106" s="24" t="s">
        <v>842</v>
      </c>
      <c r="H106" s="24" t="s">
        <v>669</v>
      </c>
      <c r="I106" s="24" t="s">
        <v>830</v>
      </c>
      <c r="J106" s="24" t="s">
        <v>843</v>
      </c>
    </row>
    <row r="107" spans="1:10" ht="60" x14ac:dyDescent="0.25">
      <c r="A107" s="24" t="s">
        <v>269</v>
      </c>
      <c r="B107" s="24" t="s">
        <v>666</v>
      </c>
      <c r="C107" s="24" t="s">
        <v>270</v>
      </c>
      <c r="D107" s="24" t="s">
        <v>271</v>
      </c>
      <c r="E107" s="24" t="s">
        <v>667</v>
      </c>
      <c r="F107" s="24" t="s">
        <v>421</v>
      </c>
      <c r="G107" s="24" t="s">
        <v>844</v>
      </c>
      <c r="H107" s="24" t="s">
        <v>669</v>
      </c>
      <c r="I107" s="24" t="s">
        <v>845</v>
      </c>
      <c r="J107" s="24" t="s">
        <v>700</v>
      </c>
    </row>
    <row r="108" spans="1:10" ht="60" x14ac:dyDescent="0.25">
      <c r="A108" s="24" t="s">
        <v>269</v>
      </c>
      <c r="B108" s="24" t="s">
        <v>666</v>
      </c>
      <c r="C108" s="24" t="s">
        <v>270</v>
      </c>
      <c r="D108" s="24" t="s">
        <v>271</v>
      </c>
      <c r="E108" s="24" t="s">
        <v>672</v>
      </c>
      <c r="F108" s="24" t="s">
        <v>434</v>
      </c>
      <c r="G108" s="24" t="s">
        <v>846</v>
      </c>
      <c r="H108" s="24" t="s">
        <v>669</v>
      </c>
      <c r="I108" s="24" t="s">
        <v>845</v>
      </c>
      <c r="J108" s="24" t="s">
        <v>702</v>
      </c>
    </row>
    <row r="109" spans="1:10" ht="60" x14ac:dyDescent="0.25">
      <c r="A109" s="24" t="s">
        <v>269</v>
      </c>
      <c r="B109" s="24" t="s">
        <v>666</v>
      </c>
      <c r="C109" s="24" t="s">
        <v>270</v>
      </c>
      <c r="D109" s="24" t="s">
        <v>271</v>
      </c>
      <c r="E109" s="24" t="s">
        <v>675</v>
      </c>
      <c r="F109" s="24" t="s">
        <v>447</v>
      </c>
      <c r="G109" s="24" t="s">
        <v>847</v>
      </c>
      <c r="H109" s="24" t="s">
        <v>669</v>
      </c>
      <c r="I109" s="24" t="s">
        <v>845</v>
      </c>
      <c r="J109" s="24" t="s">
        <v>704</v>
      </c>
    </row>
    <row r="110" spans="1:10" ht="75" x14ac:dyDescent="0.25">
      <c r="A110" s="24" t="s">
        <v>269</v>
      </c>
      <c r="B110" s="24" t="s">
        <v>666</v>
      </c>
      <c r="C110" s="24" t="s">
        <v>270</v>
      </c>
      <c r="D110" s="24" t="s">
        <v>271</v>
      </c>
      <c r="E110" s="24" t="s">
        <v>678</v>
      </c>
      <c r="F110" s="24" t="s">
        <v>458</v>
      </c>
      <c r="G110" s="24" t="s">
        <v>848</v>
      </c>
      <c r="H110" s="24" t="s">
        <v>669</v>
      </c>
      <c r="I110" s="24" t="s">
        <v>845</v>
      </c>
      <c r="J110" s="24" t="s">
        <v>706</v>
      </c>
    </row>
    <row r="111" spans="1:10" ht="75" x14ac:dyDescent="0.25">
      <c r="A111" s="24" t="s">
        <v>269</v>
      </c>
      <c r="B111" s="24" t="s">
        <v>666</v>
      </c>
      <c r="C111" s="24" t="s">
        <v>270</v>
      </c>
      <c r="D111" s="24" t="s">
        <v>271</v>
      </c>
      <c r="E111" s="24" t="s">
        <v>681</v>
      </c>
      <c r="F111" s="24" t="s">
        <v>471</v>
      </c>
      <c r="G111" s="24" t="s">
        <v>849</v>
      </c>
      <c r="H111" s="24" t="s">
        <v>669</v>
      </c>
      <c r="I111" s="24" t="s">
        <v>845</v>
      </c>
      <c r="J111" s="24" t="s">
        <v>708</v>
      </c>
    </row>
    <row r="112" spans="1:10" ht="75" x14ac:dyDescent="0.25">
      <c r="A112" s="24" t="s">
        <v>269</v>
      </c>
      <c r="B112" s="24" t="s">
        <v>666</v>
      </c>
      <c r="C112" s="24" t="s">
        <v>270</v>
      </c>
      <c r="D112" s="24" t="s">
        <v>271</v>
      </c>
      <c r="E112" s="24" t="s">
        <v>684</v>
      </c>
      <c r="F112" s="24" t="s">
        <v>484</v>
      </c>
      <c r="G112" s="24" t="s">
        <v>850</v>
      </c>
      <c r="H112" s="24" t="s">
        <v>669</v>
      </c>
      <c r="I112" s="24" t="s">
        <v>845</v>
      </c>
      <c r="J112" s="24" t="s">
        <v>710</v>
      </c>
    </row>
    <row r="113" spans="1:10" ht="75" x14ac:dyDescent="0.25">
      <c r="A113" s="24" t="s">
        <v>269</v>
      </c>
      <c r="B113" s="24" t="s">
        <v>666</v>
      </c>
      <c r="C113" s="24" t="s">
        <v>270</v>
      </c>
      <c r="D113" s="24" t="s">
        <v>271</v>
      </c>
      <c r="E113" s="24" t="s">
        <v>687</v>
      </c>
      <c r="F113" s="24" t="s">
        <v>497</v>
      </c>
      <c r="G113" s="24" t="s">
        <v>851</v>
      </c>
      <c r="H113" s="24" t="s">
        <v>669</v>
      </c>
      <c r="I113" s="24" t="s">
        <v>845</v>
      </c>
      <c r="J113" s="24" t="s">
        <v>712</v>
      </c>
    </row>
    <row r="114" spans="1:10" ht="60" x14ac:dyDescent="0.25">
      <c r="A114" s="24" t="s">
        <v>269</v>
      </c>
      <c r="B114" s="24" t="s">
        <v>666</v>
      </c>
      <c r="C114" s="24" t="s">
        <v>273</v>
      </c>
      <c r="D114" s="24" t="s">
        <v>103</v>
      </c>
      <c r="E114" s="24" t="s">
        <v>667</v>
      </c>
      <c r="F114" s="24" t="s">
        <v>421</v>
      </c>
      <c r="G114" s="24" t="s">
        <v>852</v>
      </c>
      <c r="H114" s="24" t="s">
        <v>669</v>
      </c>
      <c r="I114" s="24" t="s">
        <v>853</v>
      </c>
      <c r="J114" s="24" t="s">
        <v>715</v>
      </c>
    </row>
    <row r="115" spans="1:10" ht="60" x14ac:dyDescent="0.25">
      <c r="A115" s="24" t="s">
        <v>269</v>
      </c>
      <c r="B115" s="24" t="s">
        <v>666</v>
      </c>
      <c r="C115" s="24" t="s">
        <v>273</v>
      </c>
      <c r="D115" s="24" t="s">
        <v>103</v>
      </c>
      <c r="E115" s="24" t="s">
        <v>672</v>
      </c>
      <c r="F115" s="24" t="s">
        <v>434</v>
      </c>
      <c r="G115" s="24" t="s">
        <v>854</v>
      </c>
      <c r="H115" s="24" t="s">
        <v>669</v>
      </c>
      <c r="I115" s="24" t="s">
        <v>853</v>
      </c>
      <c r="J115" s="24" t="s">
        <v>717</v>
      </c>
    </row>
    <row r="116" spans="1:10" ht="60" x14ac:dyDescent="0.25">
      <c r="A116" s="24" t="s">
        <v>269</v>
      </c>
      <c r="B116" s="24" t="s">
        <v>666</v>
      </c>
      <c r="C116" s="24" t="s">
        <v>273</v>
      </c>
      <c r="D116" s="24" t="s">
        <v>103</v>
      </c>
      <c r="E116" s="24" t="s">
        <v>675</v>
      </c>
      <c r="F116" s="24" t="s">
        <v>447</v>
      </c>
      <c r="G116" s="24" t="s">
        <v>855</v>
      </c>
      <c r="H116" s="24" t="s">
        <v>669</v>
      </c>
      <c r="I116" s="24" t="s">
        <v>853</v>
      </c>
      <c r="J116" s="24" t="s">
        <v>719</v>
      </c>
    </row>
    <row r="117" spans="1:10" ht="60" x14ac:dyDescent="0.25">
      <c r="A117" s="24" t="s">
        <v>269</v>
      </c>
      <c r="B117" s="24" t="s">
        <v>666</v>
      </c>
      <c r="C117" s="24" t="s">
        <v>273</v>
      </c>
      <c r="D117" s="24" t="s">
        <v>103</v>
      </c>
      <c r="E117" s="24" t="s">
        <v>678</v>
      </c>
      <c r="F117" s="24" t="s">
        <v>458</v>
      </c>
      <c r="G117" s="24" t="s">
        <v>856</v>
      </c>
      <c r="H117" s="24" t="s">
        <v>669</v>
      </c>
      <c r="I117" s="24" t="s">
        <v>853</v>
      </c>
      <c r="J117" s="24" t="s">
        <v>721</v>
      </c>
    </row>
    <row r="118" spans="1:10" ht="60" x14ac:dyDescent="0.25">
      <c r="A118" s="24" t="s">
        <v>269</v>
      </c>
      <c r="B118" s="24" t="s">
        <v>666</v>
      </c>
      <c r="C118" s="24" t="s">
        <v>273</v>
      </c>
      <c r="D118" s="24" t="s">
        <v>103</v>
      </c>
      <c r="E118" s="24" t="s">
        <v>681</v>
      </c>
      <c r="F118" s="24" t="s">
        <v>471</v>
      </c>
      <c r="G118" s="24" t="s">
        <v>857</v>
      </c>
      <c r="H118" s="24" t="s">
        <v>669</v>
      </c>
      <c r="I118" s="24" t="s">
        <v>853</v>
      </c>
      <c r="J118" s="24" t="s">
        <v>723</v>
      </c>
    </row>
    <row r="119" spans="1:10" ht="60" x14ac:dyDescent="0.25">
      <c r="A119" s="24" t="s">
        <v>269</v>
      </c>
      <c r="B119" s="24" t="s">
        <v>666</v>
      </c>
      <c r="C119" s="24" t="s">
        <v>273</v>
      </c>
      <c r="D119" s="24" t="s">
        <v>103</v>
      </c>
      <c r="E119" s="24" t="s">
        <v>684</v>
      </c>
      <c r="F119" s="24" t="s">
        <v>484</v>
      </c>
      <c r="G119" s="24" t="s">
        <v>858</v>
      </c>
      <c r="H119" s="24" t="s">
        <v>669</v>
      </c>
      <c r="I119" s="24" t="s">
        <v>853</v>
      </c>
      <c r="J119" s="24" t="s">
        <v>725</v>
      </c>
    </row>
    <row r="120" spans="1:10" ht="60" x14ac:dyDescent="0.25">
      <c r="A120" s="24" t="s">
        <v>269</v>
      </c>
      <c r="B120" s="24" t="s">
        <v>666</v>
      </c>
      <c r="C120" s="24" t="s">
        <v>273</v>
      </c>
      <c r="D120" s="24" t="s">
        <v>103</v>
      </c>
      <c r="E120" s="24" t="s">
        <v>687</v>
      </c>
      <c r="F120" s="24" t="s">
        <v>497</v>
      </c>
      <c r="G120" s="24" t="s">
        <v>859</v>
      </c>
      <c r="H120" s="24" t="s">
        <v>669</v>
      </c>
      <c r="I120" s="24" t="s">
        <v>853</v>
      </c>
      <c r="J120" s="24" t="s">
        <v>727</v>
      </c>
    </row>
    <row r="121" spans="1:10" ht="60" x14ac:dyDescent="0.25">
      <c r="A121" s="24" t="s">
        <v>269</v>
      </c>
      <c r="B121" s="24" t="s">
        <v>666</v>
      </c>
      <c r="C121" s="24" t="s">
        <v>94</v>
      </c>
      <c r="D121" s="24" t="s">
        <v>95</v>
      </c>
      <c r="E121" s="24" t="s">
        <v>667</v>
      </c>
      <c r="F121" s="24" t="s">
        <v>421</v>
      </c>
      <c r="G121" s="24" t="s">
        <v>860</v>
      </c>
      <c r="H121" s="24" t="s">
        <v>669</v>
      </c>
      <c r="I121" s="24" t="s">
        <v>861</v>
      </c>
      <c r="J121" s="24" t="s">
        <v>671</v>
      </c>
    </row>
    <row r="122" spans="1:10" ht="60" x14ac:dyDescent="0.25">
      <c r="A122" s="24" t="s">
        <v>269</v>
      </c>
      <c r="B122" s="24" t="s">
        <v>666</v>
      </c>
      <c r="C122" s="24" t="s">
        <v>94</v>
      </c>
      <c r="D122" s="24" t="s">
        <v>95</v>
      </c>
      <c r="E122" s="24" t="s">
        <v>672</v>
      </c>
      <c r="F122" s="24" t="s">
        <v>434</v>
      </c>
      <c r="G122" s="24" t="s">
        <v>862</v>
      </c>
      <c r="H122" s="24" t="s">
        <v>669</v>
      </c>
      <c r="I122" s="24" t="s">
        <v>861</v>
      </c>
      <c r="J122" s="24" t="s">
        <v>674</v>
      </c>
    </row>
    <row r="123" spans="1:10" ht="60" x14ac:dyDescent="0.25">
      <c r="A123" s="24" t="s">
        <v>269</v>
      </c>
      <c r="B123" s="24" t="s">
        <v>666</v>
      </c>
      <c r="C123" s="24" t="s">
        <v>94</v>
      </c>
      <c r="D123" s="24" t="s">
        <v>95</v>
      </c>
      <c r="E123" s="24" t="s">
        <v>675</v>
      </c>
      <c r="F123" s="24" t="s">
        <v>447</v>
      </c>
      <c r="G123" s="24" t="s">
        <v>863</v>
      </c>
      <c r="H123" s="24" t="s">
        <v>669</v>
      </c>
      <c r="I123" s="24" t="s">
        <v>861</v>
      </c>
      <c r="J123" s="24" t="s">
        <v>677</v>
      </c>
    </row>
    <row r="124" spans="1:10" ht="75" x14ac:dyDescent="0.25">
      <c r="A124" s="24" t="s">
        <v>269</v>
      </c>
      <c r="B124" s="24" t="s">
        <v>666</v>
      </c>
      <c r="C124" s="24" t="s">
        <v>94</v>
      </c>
      <c r="D124" s="24" t="s">
        <v>95</v>
      </c>
      <c r="E124" s="24" t="s">
        <v>678</v>
      </c>
      <c r="F124" s="24" t="s">
        <v>458</v>
      </c>
      <c r="G124" s="24" t="s">
        <v>864</v>
      </c>
      <c r="H124" s="24" t="s">
        <v>669</v>
      </c>
      <c r="I124" s="24" t="s">
        <v>861</v>
      </c>
      <c r="J124" s="24" t="s">
        <v>680</v>
      </c>
    </row>
    <row r="125" spans="1:10" ht="60" x14ac:dyDescent="0.25">
      <c r="A125" s="24" t="s">
        <v>269</v>
      </c>
      <c r="B125" s="24" t="s">
        <v>666</v>
      </c>
      <c r="C125" s="24" t="s">
        <v>94</v>
      </c>
      <c r="D125" s="24" t="s">
        <v>95</v>
      </c>
      <c r="E125" s="24" t="s">
        <v>681</v>
      </c>
      <c r="F125" s="24" t="s">
        <v>471</v>
      </c>
      <c r="G125" s="24" t="s">
        <v>865</v>
      </c>
      <c r="H125" s="24" t="s">
        <v>669</v>
      </c>
      <c r="I125" s="24" t="s">
        <v>861</v>
      </c>
      <c r="J125" s="24" t="s">
        <v>683</v>
      </c>
    </row>
    <row r="126" spans="1:10" ht="75" x14ac:dyDescent="0.25">
      <c r="A126" s="24" t="s">
        <v>269</v>
      </c>
      <c r="B126" s="24" t="s">
        <v>666</v>
      </c>
      <c r="C126" s="24" t="s">
        <v>94</v>
      </c>
      <c r="D126" s="24" t="s">
        <v>95</v>
      </c>
      <c r="E126" s="24" t="s">
        <v>684</v>
      </c>
      <c r="F126" s="24" t="s">
        <v>484</v>
      </c>
      <c r="G126" s="24" t="s">
        <v>866</v>
      </c>
      <c r="H126" s="24" t="s">
        <v>669</v>
      </c>
      <c r="I126" s="24" t="s">
        <v>861</v>
      </c>
      <c r="J126" s="24" t="s">
        <v>686</v>
      </c>
    </row>
    <row r="127" spans="1:10" ht="75" x14ac:dyDescent="0.25">
      <c r="A127" s="24" t="s">
        <v>269</v>
      </c>
      <c r="B127" s="24" t="s">
        <v>666</v>
      </c>
      <c r="C127" s="24" t="s">
        <v>94</v>
      </c>
      <c r="D127" s="24" t="s">
        <v>95</v>
      </c>
      <c r="E127" s="24" t="s">
        <v>687</v>
      </c>
      <c r="F127" s="24" t="s">
        <v>497</v>
      </c>
      <c r="G127" s="24" t="s">
        <v>867</v>
      </c>
      <c r="H127" s="24" t="s">
        <v>669</v>
      </c>
      <c r="I127" s="24" t="s">
        <v>861</v>
      </c>
      <c r="J127" s="24" t="s">
        <v>689</v>
      </c>
    </row>
    <row r="128" spans="1:10" ht="60" x14ac:dyDescent="0.25">
      <c r="A128" s="24" t="s">
        <v>269</v>
      </c>
      <c r="B128" s="24" t="s">
        <v>666</v>
      </c>
      <c r="C128" s="24" t="s">
        <v>276</v>
      </c>
      <c r="D128" s="24" t="s">
        <v>277</v>
      </c>
      <c r="E128" s="24" t="s">
        <v>667</v>
      </c>
      <c r="F128" s="24" t="s">
        <v>421</v>
      </c>
      <c r="G128" s="24" t="s">
        <v>868</v>
      </c>
      <c r="H128" s="24" t="s">
        <v>669</v>
      </c>
      <c r="I128" s="24" t="s">
        <v>869</v>
      </c>
      <c r="J128" s="24" t="s">
        <v>870</v>
      </c>
    </row>
    <row r="129" spans="1:10" ht="60" x14ac:dyDescent="0.25">
      <c r="A129" s="24" t="s">
        <v>269</v>
      </c>
      <c r="B129" s="24" t="s">
        <v>666</v>
      </c>
      <c r="C129" s="24" t="s">
        <v>276</v>
      </c>
      <c r="D129" s="24" t="s">
        <v>277</v>
      </c>
      <c r="E129" s="24" t="s">
        <v>672</v>
      </c>
      <c r="F129" s="24" t="s">
        <v>434</v>
      </c>
      <c r="G129" s="24" t="s">
        <v>871</v>
      </c>
      <c r="H129" s="24" t="s">
        <v>669</v>
      </c>
      <c r="I129" s="24" t="s">
        <v>869</v>
      </c>
      <c r="J129" s="24" t="s">
        <v>872</v>
      </c>
    </row>
    <row r="130" spans="1:10" ht="60" x14ac:dyDescent="0.25">
      <c r="A130" s="24" t="s">
        <v>269</v>
      </c>
      <c r="B130" s="24" t="s">
        <v>666</v>
      </c>
      <c r="C130" s="24" t="s">
        <v>276</v>
      </c>
      <c r="D130" s="24" t="s">
        <v>277</v>
      </c>
      <c r="E130" s="24" t="s">
        <v>675</v>
      </c>
      <c r="F130" s="24" t="s">
        <v>447</v>
      </c>
      <c r="G130" s="24" t="s">
        <v>873</v>
      </c>
      <c r="H130" s="24" t="s">
        <v>669</v>
      </c>
      <c r="I130" s="24" t="s">
        <v>869</v>
      </c>
      <c r="J130" s="24" t="s">
        <v>874</v>
      </c>
    </row>
    <row r="131" spans="1:10" ht="60" x14ac:dyDescent="0.25">
      <c r="A131" s="24" t="s">
        <v>269</v>
      </c>
      <c r="B131" s="24" t="s">
        <v>666</v>
      </c>
      <c r="C131" s="24" t="s">
        <v>276</v>
      </c>
      <c r="D131" s="24" t="s">
        <v>277</v>
      </c>
      <c r="E131" s="24" t="s">
        <v>678</v>
      </c>
      <c r="F131" s="24" t="s">
        <v>458</v>
      </c>
      <c r="G131" s="24" t="s">
        <v>875</v>
      </c>
      <c r="H131" s="24" t="s">
        <v>669</v>
      </c>
      <c r="I131" s="24" t="s">
        <v>869</v>
      </c>
      <c r="J131" s="24" t="s">
        <v>876</v>
      </c>
    </row>
    <row r="132" spans="1:10" ht="60" x14ac:dyDescent="0.25">
      <c r="A132" s="24" t="s">
        <v>269</v>
      </c>
      <c r="B132" s="24" t="s">
        <v>666</v>
      </c>
      <c r="C132" s="24" t="s">
        <v>276</v>
      </c>
      <c r="D132" s="24" t="s">
        <v>277</v>
      </c>
      <c r="E132" s="24" t="s">
        <v>681</v>
      </c>
      <c r="F132" s="24" t="s">
        <v>471</v>
      </c>
      <c r="G132" s="24" t="s">
        <v>877</v>
      </c>
      <c r="H132" s="24" t="s">
        <v>669</v>
      </c>
      <c r="I132" s="24" t="s">
        <v>869</v>
      </c>
      <c r="J132" s="24" t="s">
        <v>878</v>
      </c>
    </row>
    <row r="133" spans="1:10" ht="60" x14ac:dyDescent="0.25">
      <c r="A133" s="24" t="s">
        <v>269</v>
      </c>
      <c r="B133" s="24" t="s">
        <v>666</v>
      </c>
      <c r="C133" s="24" t="s">
        <v>276</v>
      </c>
      <c r="D133" s="24" t="s">
        <v>277</v>
      </c>
      <c r="E133" s="24" t="s">
        <v>684</v>
      </c>
      <c r="F133" s="24" t="s">
        <v>484</v>
      </c>
      <c r="G133" s="24" t="s">
        <v>879</v>
      </c>
      <c r="H133" s="24" t="s">
        <v>669</v>
      </c>
      <c r="I133" s="24" t="s">
        <v>869</v>
      </c>
      <c r="J133" s="24" t="s">
        <v>880</v>
      </c>
    </row>
    <row r="134" spans="1:10" ht="75" x14ac:dyDescent="0.25">
      <c r="A134" s="24" t="s">
        <v>269</v>
      </c>
      <c r="B134" s="24" t="s">
        <v>666</v>
      </c>
      <c r="C134" s="24" t="s">
        <v>276</v>
      </c>
      <c r="D134" s="24" t="s">
        <v>277</v>
      </c>
      <c r="E134" s="24" t="s">
        <v>687</v>
      </c>
      <c r="F134" s="24" t="s">
        <v>497</v>
      </c>
      <c r="G134" s="24" t="s">
        <v>881</v>
      </c>
      <c r="H134" s="24" t="s">
        <v>669</v>
      </c>
      <c r="I134" s="24" t="s">
        <v>869</v>
      </c>
      <c r="J134" s="24" t="s">
        <v>882</v>
      </c>
    </row>
    <row r="135" spans="1:10" ht="60" x14ac:dyDescent="0.25">
      <c r="A135" s="24" t="s">
        <v>269</v>
      </c>
      <c r="B135" s="24" t="s">
        <v>666</v>
      </c>
      <c r="C135" s="24" t="s">
        <v>280</v>
      </c>
      <c r="D135" s="24" t="s">
        <v>281</v>
      </c>
      <c r="E135" s="24" t="s">
        <v>667</v>
      </c>
      <c r="F135" s="24" t="s">
        <v>421</v>
      </c>
      <c r="G135" s="24" t="s">
        <v>883</v>
      </c>
      <c r="H135" s="24" t="s">
        <v>669</v>
      </c>
      <c r="I135" s="24" t="s">
        <v>884</v>
      </c>
      <c r="J135" s="24" t="s">
        <v>831</v>
      </c>
    </row>
    <row r="136" spans="1:10" ht="60" x14ac:dyDescent="0.25">
      <c r="A136" s="24" t="s">
        <v>269</v>
      </c>
      <c r="B136" s="24" t="s">
        <v>666</v>
      </c>
      <c r="C136" s="24" t="s">
        <v>280</v>
      </c>
      <c r="D136" s="24" t="s">
        <v>281</v>
      </c>
      <c r="E136" s="24" t="s">
        <v>672</v>
      </c>
      <c r="F136" s="24" t="s">
        <v>434</v>
      </c>
      <c r="G136" s="24" t="s">
        <v>885</v>
      </c>
      <c r="H136" s="24" t="s">
        <v>669</v>
      </c>
      <c r="I136" s="24" t="s">
        <v>884</v>
      </c>
      <c r="J136" s="24" t="s">
        <v>833</v>
      </c>
    </row>
    <row r="137" spans="1:10" ht="60" x14ac:dyDescent="0.25">
      <c r="A137" s="24" t="s">
        <v>269</v>
      </c>
      <c r="B137" s="24" t="s">
        <v>666</v>
      </c>
      <c r="C137" s="24" t="s">
        <v>280</v>
      </c>
      <c r="D137" s="24" t="s">
        <v>281</v>
      </c>
      <c r="E137" s="24" t="s">
        <v>675</v>
      </c>
      <c r="F137" s="24" t="s">
        <v>447</v>
      </c>
      <c r="G137" s="24" t="s">
        <v>886</v>
      </c>
      <c r="H137" s="24" t="s">
        <v>669</v>
      </c>
      <c r="I137" s="24" t="s">
        <v>884</v>
      </c>
      <c r="J137" s="24" t="s">
        <v>835</v>
      </c>
    </row>
    <row r="138" spans="1:10" ht="75" x14ac:dyDescent="0.25">
      <c r="A138" s="24" t="s">
        <v>269</v>
      </c>
      <c r="B138" s="24" t="s">
        <v>666</v>
      </c>
      <c r="C138" s="24" t="s">
        <v>280</v>
      </c>
      <c r="D138" s="24" t="s">
        <v>281</v>
      </c>
      <c r="E138" s="24" t="s">
        <v>678</v>
      </c>
      <c r="F138" s="24" t="s">
        <v>458</v>
      </c>
      <c r="G138" s="24" t="s">
        <v>887</v>
      </c>
      <c r="H138" s="24" t="s">
        <v>669</v>
      </c>
      <c r="I138" s="24" t="s">
        <v>884</v>
      </c>
      <c r="J138" s="24" t="s">
        <v>837</v>
      </c>
    </row>
    <row r="139" spans="1:10" ht="60" x14ac:dyDescent="0.25">
      <c r="A139" s="24" t="s">
        <v>269</v>
      </c>
      <c r="B139" s="24" t="s">
        <v>666</v>
      </c>
      <c r="C139" s="24" t="s">
        <v>280</v>
      </c>
      <c r="D139" s="24" t="s">
        <v>281</v>
      </c>
      <c r="E139" s="24" t="s">
        <v>681</v>
      </c>
      <c r="F139" s="24" t="s">
        <v>471</v>
      </c>
      <c r="G139" s="24" t="s">
        <v>888</v>
      </c>
      <c r="H139" s="24" t="s">
        <v>669</v>
      </c>
      <c r="I139" s="24" t="s">
        <v>884</v>
      </c>
      <c r="J139" s="24" t="s">
        <v>839</v>
      </c>
    </row>
    <row r="140" spans="1:10" ht="75" x14ac:dyDescent="0.25">
      <c r="A140" s="24" t="s">
        <v>269</v>
      </c>
      <c r="B140" s="24" t="s">
        <v>666</v>
      </c>
      <c r="C140" s="24" t="s">
        <v>280</v>
      </c>
      <c r="D140" s="24" t="s">
        <v>281</v>
      </c>
      <c r="E140" s="24" t="s">
        <v>684</v>
      </c>
      <c r="F140" s="24" t="s">
        <v>484</v>
      </c>
      <c r="G140" s="24" t="s">
        <v>889</v>
      </c>
      <c r="H140" s="24" t="s">
        <v>669</v>
      </c>
      <c r="I140" s="24" t="s">
        <v>884</v>
      </c>
      <c r="J140" s="24" t="s">
        <v>841</v>
      </c>
    </row>
    <row r="141" spans="1:10" ht="75" x14ac:dyDescent="0.25">
      <c r="A141" s="24" t="s">
        <v>269</v>
      </c>
      <c r="B141" s="24" t="s">
        <v>666</v>
      </c>
      <c r="C141" s="24" t="s">
        <v>280</v>
      </c>
      <c r="D141" s="24" t="s">
        <v>281</v>
      </c>
      <c r="E141" s="24" t="s">
        <v>687</v>
      </c>
      <c r="F141" s="24" t="s">
        <v>497</v>
      </c>
      <c r="G141" s="24" t="s">
        <v>890</v>
      </c>
      <c r="H141" s="24" t="s">
        <v>669</v>
      </c>
      <c r="I141" s="24" t="s">
        <v>884</v>
      </c>
      <c r="J141" s="24" t="s">
        <v>843</v>
      </c>
    </row>
    <row r="142" spans="1:10" ht="60" x14ac:dyDescent="0.25">
      <c r="A142" s="24" t="s">
        <v>283</v>
      </c>
      <c r="B142" s="24" t="s">
        <v>666</v>
      </c>
      <c r="C142" s="24" t="s">
        <v>270</v>
      </c>
      <c r="D142" s="24" t="s">
        <v>271</v>
      </c>
      <c r="E142" s="24" t="s">
        <v>667</v>
      </c>
      <c r="F142" s="24" t="s">
        <v>421</v>
      </c>
      <c r="G142" s="24" t="s">
        <v>891</v>
      </c>
      <c r="H142" s="24" t="s">
        <v>669</v>
      </c>
      <c r="I142" s="24" t="s">
        <v>892</v>
      </c>
      <c r="J142" s="24" t="s">
        <v>700</v>
      </c>
    </row>
    <row r="143" spans="1:10" ht="60" x14ac:dyDescent="0.25">
      <c r="A143" s="24" t="s">
        <v>283</v>
      </c>
      <c r="B143" s="24" t="s">
        <v>666</v>
      </c>
      <c r="C143" s="24" t="s">
        <v>270</v>
      </c>
      <c r="D143" s="24" t="s">
        <v>271</v>
      </c>
      <c r="E143" s="24" t="s">
        <v>672</v>
      </c>
      <c r="F143" s="24" t="s">
        <v>434</v>
      </c>
      <c r="G143" s="24" t="s">
        <v>893</v>
      </c>
      <c r="H143" s="24" t="s">
        <v>669</v>
      </c>
      <c r="I143" s="24" t="s">
        <v>892</v>
      </c>
      <c r="J143" s="24" t="s">
        <v>702</v>
      </c>
    </row>
    <row r="144" spans="1:10" ht="60" x14ac:dyDescent="0.25">
      <c r="A144" s="24" t="s">
        <v>283</v>
      </c>
      <c r="B144" s="24" t="s">
        <v>666</v>
      </c>
      <c r="C144" s="24" t="s">
        <v>270</v>
      </c>
      <c r="D144" s="24" t="s">
        <v>271</v>
      </c>
      <c r="E144" s="24" t="s">
        <v>675</v>
      </c>
      <c r="F144" s="24" t="s">
        <v>447</v>
      </c>
      <c r="G144" s="24" t="s">
        <v>894</v>
      </c>
      <c r="H144" s="24" t="s">
        <v>669</v>
      </c>
      <c r="I144" s="24" t="s">
        <v>892</v>
      </c>
      <c r="J144" s="24" t="s">
        <v>704</v>
      </c>
    </row>
    <row r="145" spans="1:10" ht="75" x14ac:dyDescent="0.25">
      <c r="A145" s="24" t="s">
        <v>283</v>
      </c>
      <c r="B145" s="24" t="s">
        <v>666</v>
      </c>
      <c r="C145" s="24" t="s">
        <v>270</v>
      </c>
      <c r="D145" s="24" t="s">
        <v>271</v>
      </c>
      <c r="E145" s="24" t="s">
        <v>678</v>
      </c>
      <c r="F145" s="24" t="s">
        <v>458</v>
      </c>
      <c r="G145" s="24" t="s">
        <v>895</v>
      </c>
      <c r="H145" s="24" t="s">
        <v>669</v>
      </c>
      <c r="I145" s="24" t="s">
        <v>892</v>
      </c>
      <c r="J145" s="24" t="s">
        <v>706</v>
      </c>
    </row>
    <row r="146" spans="1:10" ht="60" x14ac:dyDescent="0.25">
      <c r="A146" s="24" t="s">
        <v>283</v>
      </c>
      <c r="B146" s="24" t="s">
        <v>666</v>
      </c>
      <c r="C146" s="24" t="s">
        <v>270</v>
      </c>
      <c r="D146" s="24" t="s">
        <v>271</v>
      </c>
      <c r="E146" s="24" t="s">
        <v>681</v>
      </c>
      <c r="F146" s="24" t="s">
        <v>471</v>
      </c>
      <c r="G146" s="24" t="s">
        <v>896</v>
      </c>
      <c r="H146" s="24" t="s">
        <v>669</v>
      </c>
      <c r="I146" s="24" t="s">
        <v>892</v>
      </c>
      <c r="J146" s="24" t="s">
        <v>708</v>
      </c>
    </row>
    <row r="147" spans="1:10" ht="75" x14ac:dyDescent="0.25">
      <c r="A147" s="24" t="s">
        <v>283</v>
      </c>
      <c r="B147" s="24" t="s">
        <v>666</v>
      </c>
      <c r="C147" s="24" t="s">
        <v>270</v>
      </c>
      <c r="D147" s="24" t="s">
        <v>271</v>
      </c>
      <c r="E147" s="24" t="s">
        <v>684</v>
      </c>
      <c r="F147" s="24" t="s">
        <v>484</v>
      </c>
      <c r="G147" s="24" t="s">
        <v>897</v>
      </c>
      <c r="H147" s="24" t="s">
        <v>669</v>
      </c>
      <c r="I147" s="24" t="s">
        <v>892</v>
      </c>
      <c r="J147" s="24" t="s">
        <v>710</v>
      </c>
    </row>
    <row r="148" spans="1:10" ht="75" x14ac:dyDescent="0.25">
      <c r="A148" s="24" t="s">
        <v>283</v>
      </c>
      <c r="B148" s="24" t="s">
        <v>666</v>
      </c>
      <c r="C148" s="24" t="s">
        <v>270</v>
      </c>
      <c r="D148" s="24" t="s">
        <v>271</v>
      </c>
      <c r="E148" s="24" t="s">
        <v>687</v>
      </c>
      <c r="F148" s="24" t="s">
        <v>497</v>
      </c>
      <c r="G148" s="24" t="s">
        <v>898</v>
      </c>
      <c r="H148" s="24" t="s">
        <v>669</v>
      </c>
      <c r="I148" s="24" t="s">
        <v>892</v>
      </c>
      <c r="J148" s="24" t="s">
        <v>712</v>
      </c>
    </row>
    <row r="149" spans="1:10" ht="60" x14ac:dyDescent="0.25">
      <c r="A149" s="24" t="s">
        <v>283</v>
      </c>
      <c r="B149" s="24" t="s">
        <v>666</v>
      </c>
      <c r="C149" s="24" t="s">
        <v>285</v>
      </c>
      <c r="D149" s="24" t="s">
        <v>286</v>
      </c>
      <c r="E149" s="24" t="s">
        <v>667</v>
      </c>
      <c r="F149" s="24" t="s">
        <v>421</v>
      </c>
      <c r="G149" s="24" t="s">
        <v>899</v>
      </c>
      <c r="H149" s="24" t="s">
        <v>669</v>
      </c>
      <c r="I149" s="24" t="s">
        <v>900</v>
      </c>
      <c r="J149" s="24" t="s">
        <v>715</v>
      </c>
    </row>
    <row r="150" spans="1:10" ht="60" x14ac:dyDescent="0.25">
      <c r="A150" s="24" t="s">
        <v>283</v>
      </c>
      <c r="B150" s="24" t="s">
        <v>666</v>
      </c>
      <c r="C150" s="24" t="s">
        <v>285</v>
      </c>
      <c r="D150" s="24" t="s">
        <v>286</v>
      </c>
      <c r="E150" s="24" t="s">
        <v>672</v>
      </c>
      <c r="F150" s="24" t="s">
        <v>434</v>
      </c>
      <c r="G150" s="24" t="s">
        <v>901</v>
      </c>
      <c r="H150" s="24" t="s">
        <v>669</v>
      </c>
      <c r="I150" s="24" t="s">
        <v>900</v>
      </c>
      <c r="J150" s="24" t="s">
        <v>717</v>
      </c>
    </row>
    <row r="151" spans="1:10" ht="60" x14ac:dyDescent="0.25">
      <c r="A151" s="24" t="s">
        <v>283</v>
      </c>
      <c r="B151" s="24" t="s">
        <v>666</v>
      </c>
      <c r="C151" s="24" t="s">
        <v>285</v>
      </c>
      <c r="D151" s="24" t="s">
        <v>286</v>
      </c>
      <c r="E151" s="24" t="s">
        <v>675</v>
      </c>
      <c r="F151" s="24" t="s">
        <v>447</v>
      </c>
      <c r="G151" s="24" t="s">
        <v>902</v>
      </c>
      <c r="H151" s="24" t="s">
        <v>669</v>
      </c>
      <c r="I151" s="24" t="s">
        <v>900</v>
      </c>
      <c r="J151" s="24" t="s">
        <v>719</v>
      </c>
    </row>
    <row r="152" spans="1:10" ht="75" x14ac:dyDescent="0.25">
      <c r="A152" s="24" t="s">
        <v>283</v>
      </c>
      <c r="B152" s="24" t="s">
        <v>666</v>
      </c>
      <c r="C152" s="24" t="s">
        <v>285</v>
      </c>
      <c r="D152" s="24" t="s">
        <v>286</v>
      </c>
      <c r="E152" s="24" t="s">
        <v>678</v>
      </c>
      <c r="F152" s="24" t="s">
        <v>458</v>
      </c>
      <c r="G152" s="24" t="s">
        <v>903</v>
      </c>
      <c r="H152" s="24" t="s">
        <v>669</v>
      </c>
      <c r="I152" s="24" t="s">
        <v>900</v>
      </c>
      <c r="J152" s="24" t="s">
        <v>721</v>
      </c>
    </row>
    <row r="153" spans="1:10" ht="60" x14ac:dyDescent="0.25">
      <c r="A153" s="24" t="s">
        <v>283</v>
      </c>
      <c r="B153" s="24" t="s">
        <v>666</v>
      </c>
      <c r="C153" s="24" t="s">
        <v>285</v>
      </c>
      <c r="D153" s="24" t="s">
        <v>286</v>
      </c>
      <c r="E153" s="24" t="s">
        <v>681</v>
      </c>
      <c r="F153" s="24" t="s">
        <v>471</v>
      </c>
      <c r="G153" s="24" t="s">
        <v>904</v>
      </c>
      <c r="H153" s="24" t="s">
        <v>669</v>
      </c>
      <c r="I153" s="24" t="s">
        <v>900</v>
      </c>
      <c r="J153" s="24" t="s">
        <v>723</v>
      </c>
    </row>
    <row r="154" spans="1:10" ht="75" x14ac:dyDescent="0.25">
      <c r="A154" s="24" t="s">
        <v>283</v>
      </c>
      <c r="B154" s="24" t="s">
        <v>666</v>
      </c>
      <c r="C154" s="24" t="s">
        <v>285</v>
      </c>
      <c r="D154" s="24" t="s">
        <v>286</v>
      </c>
      <c r="E154" s="24" t="s">
        <v>684</v>
      </c>
      <c r="F154" s="24" t="s">
        <v>484</v>
      </c>
      <c r="G154" s="24" t="s">
        <v>905</v>
      </c>
      <c r="H154" s="24" t="s">
        <v>669</v>
      </c>
      <c r="I154" s="24" t="s">
        <v>900</v>
      </c>
      <c r="J154" s="24" t="s">
        <v>725</v>
      </c>
    </row>
    <row r="155" spans="1:10" ht="75" x14ac:dyDescent="0.25">
      <c r="A155" s="24" t="s">
        <v>283</v>
      </c>
      <c r="B155" s="24" t="s">
        <v>666</v>
      </c>
      <c r="C155" s="24" t="s">
        <v>285</v>
      </c>
      <c r="D155" s="24" t="s">
        <v>286</v>
      </c>
      <c r="E155" s="24" t="s">
        <v>687</v>
      </c>
      <c r="F155" s="24" t="s">
        <v>497</v>
      </c>
      <c r="G155" s="24" t="s">
        <v>906</v>
      </c>
      <c r="H155" s="24" t="s">
        <v>669</v>
      </c>
      <c r="I155" s="24" t="s">
        <v>900</v>
      </c>
      <c r="J155" s="24" t="s">
        <v>727</v>
      </c>
    </row>
    <row r="156" spans="1:10" ht="60" x14ac:dyDescent="0.25">
      <c r="A156" s="24" t="s">
        <v>283</v>
      </c>
      <c r="B156" s="24" t="s">
        <v>666</v>
      </c>
      <c r="C156" s="24" t="s">
        <v>288</v>
      </c>
      <c r="D156" s="24" t="s">
        <v>289</v>
      </c>
      <c r="E156" s="24" t="s">
        <v>667</v>
      </c>
      <c r="F156" s="24" t="s">
        <v>421</v>
      </c>
      <c r="G156" s="24" t="s">
        <v>907</v>
      </c>
      <c r="H156" s="24" t="s">
        <v>669</v>
      </c>
      <c r="I156" s="24" t="s">
        <v>908</v>
      </c>
      <c r="J156" s="24" t="s">
        <v>909</v>
      </c>
    </row>
    <row r="157" spans="1:10" ht="60" x14ac:dyDescent="0.25">
      <c r="A157" s="24" t="s">
        <v>283</v>
      </c>
      <c r="B157" s="24" t="s">
        <v>666</v>
      </c>
      <c r="C157" s="24" t="s">
        <v>288</v>
      </c>
      <c r="D157" s="24" t="s">
        <v>289</v>
      </c>
      <c r="E157" s="24" t="s">
        <v>672</v>
      </c>
      <c r="F157" s="24" t="s">
        <v>434</v>
      </c>
      <c r="G157" s="24" t="s">
        <v>910</v>
      </c>
      <c r="H157" s="24" t="s">
        <v>669</v>
      </c>
      <c r="I157" s="24" t="s">
        <v>908</v>
      </c>
      <c r="J157" s="24" t="s">
        <v>911</v>
      </c>
    </row>
    <row r="158" spans="1:10" ht="60" x14ac:dyDescent="0.25">
      <c r="A158" s="24" t="s">
        <v>283</v>
      </c>
      <c r="B158" s="24" t="s">
        <v>666</v>
      </c>
      <c r="C158" s="24" t="s">
        <v>288</v>
      </c>
      <c r="D158" s="24" t="s">
        <v>289</v>
      </c>
      <c r="E158" s="24" t="s">
        <v>675</v>
      </c>
      <c r="F158" s="24" t="s">
        <v>447</v>
      </c>
      <c r="G158" s="24" t="s">
        <v>912</v>
      </c>
      <c r="H158" s="24" t="s">
        <v>669</v>
      </c>
      <c r="I158" s="24" t="s">
        <v>908</v>
      </c>
      <c r="J158" s="24" t="s">
        <v>913</v>
      </c>
    </row>
    <row r="159" spans="1:10" ht="75" x14ac:dyDescent="0.25">
      <c r="A159" s="24" t="s">
        <v>283</v>
      </c>
      <c r="B159" s="24" t="s">
        <v>666</v>
      </c>
      <c r="C159" s="24" t="s">
        <v>288</v>
      </c>
      <c r="D159" s="24" t="s">
        <v>289</v>
      </c>
      <c r="E159" s="24" t="s">
        <v>678</v>
      </c>
      <c r="F159" s="24" t="s">
        <v>458</v>
      </c>
      <c r="G159" s="24" t="s">
        <v>914</v>
      </c>
      <c r="H159" s="24" t="s">
        <v>669</v>
      </c>
      <c r="I159" s="24" t="s">
        <v>908</v>
      </c>
      <c r="J159" s="24" t="s">
        <v>915</v>
      </c>
    </row>
    <row r="160" spans="1:10" ht="75" x14ac:dyDescent="0.25">
      <c r="A160" s="24" t="s">
        <v>283</v>
      </c>
      <c r="B160" s="24" t="s">
        <v>666</v>
      </c>
      <c r="C160" s="24" t="s">
        <v>288</v>
      </c>
      <c r="D160" s="24" t="s">
        <v>289</v>
      </c>
      <c r="E160" s="24" t="s">
        <v>681</v>
      </c>
      <c r="F160" s="24" t="s">
        <v>471</v>
      </c>
      <c r="G160" s="24" t="s">
        <v>916</v>
      </c>
      <c r="H160" s="24" t="s">
        <v>669</v>
      </c>
      <c r="I160" s="24" t="s">
        <v>908</v>
      </c>
      <c r="J160" s="24" t="s">
        <v>917</v>
      </c>
    </row>
    <row r="161" spans="1:10" ht="75" x14ac:dyDescent="0.25">
      <c r="A161" s="24" t="s">
        <v>283</v>
      </c>
      <c r="B161" s="24" t="s">
        <v>666</v>
      </c>
      <c r="C161" s="24" t="s">
        <v>288</v>
      </c>
      <c r="D161" s="24" t="s">
        <v>289</v>
      </c>
      <c r="E161" s="24" t="s">
        <v>684</v>
      </c>
      <c r="F161" s="24" t="s">
        <v>484</v>
      </c>
      <c r="G161" s="24" t="s">
        <v>918</v>
      </c>
      <c r="H161" s="24" t="s">
        <v>669</v>
      </c>
      <c r="I161" s="24" t="s">
        <v>908</v>
      </c>
      <c r="J161" s="24" t="s">
        <v>919</v>
      </c>
    </row>
    <row r="162" spans="1:10" ht="75" x14ac:dyDescent="0.25">
      <c r="A162" s="24" t="s">
        <v>283</v>
      </c>
      <c r="B162" s="24" t="s">
        <v>666</v>
      </c>
      <c r="C162" s="24" t="s">
        <v>288</v>
      </c>
      <c r="D162" s="24" t="s">
        <v>289</v>
      </c>
      <c r="E162" s="24" t="s">
        <v>687</v>
      </c>
      <c r="F162" s="24" t="s">
        <v>497</v>
      </c>
      <c r="G162" s="24" t="s">
        <v>920</v>
      </c>
      <c r="H162" s="24" t="s">
        <v>669</v>
      </c>
      <c r="I162" s="24" t="s">
        <v>908</v>
      </c>
      <c r="J162" s="24" t="s">
        <v>921</v>
      </c>
    </row>
    <row r="163" spans="1:10" ht="60" x14ac:dyDescent="0.25">
      <c r="A163" s="24" t="s">
        <v>283</v>
      </c>
      <c r="B163" s="24" t="s">
        <v>666</v>
      </c>
      <c r="C163" s="24" t="s">
        <v>292</v>
      </c>
      <c r="D163" s="24" t="s">
        <v>293</v>
      </c>
      <c r="E163" s="24" t="s">
        <v>667</v>
      </c>
      <c r="F163" s="24" t="s">
        <v>421</v>
      </c>
      <c r="G163" s="24" t="s">
        <v>922</v>
      </c>
      <c r="H163" s="24" t="s">
        <v>669</v>
      </c>
      <c r="I163" s="24" t="s">
        <v>923</v>
      </c>
      <c r="J163" s="24" t="s">
        <v>924</v>
      </c>
    </row>
    <row r="164" spans="1:10" ht="60" x14ac:dyDescent="0.25">
      <c r="A164" s="24" t="s">
        <v>283</v>
      </c>
      <c r="B164" s="24" t="s">
        <v>666</v>
      </c>
      <c r="C164" s="24" t="s">
        <v>292</v>
      </c>
      <c r="D164" s="24" t="s">
        <v>293</v>
      </c>
      <c r="E164" s="24" t="s">
        <v>672</v>
      </c>
      <c r="F164" s="24" t="s">
        <v>434</v>
      </c>
      <c r="G164" s="24" t="s">
        <v>925</v>
      </c>
      <c r="H164" s="24" t="s">
        <v>669</v>
      </c>
      <c r="I164" s="24" t="s">
        <v>923</v>
      </c>
      <c r="J164" s="24" t="s">
        <v>926</v>
      </c>
    </row>
    <row r="165" spans="1:10" ht="60" x14ac:dyDescent="0.25">
      <c r="A165" s="24" t="s">
        <v>283</v>
      </c>
      <c r="B165" s="24" t="s">
        <v>666</v>
      </c>
      <c r="C165" s="24" t="s">
        <v>292</v>
      </c>
      <c r="D165" s="24" t="s">
        <v>293</v>
      </c>
      <c r="E165" s="24" t="s">
        <v>675</v>
      </c>
      <c r="F165" s="24" t="s">
        <v>447</v>
      </c>
      <c r="G165" s="24" t="s">
        <v>927</v>
      </c>
      <c r="H165" s="24" t="s">
        <v>669</v>
      </c>
      <c r="I165" s="24" t="s">
        <v>923</v>
      </c>
      <c r="J165" s="24" t="s">
        <v>928</v>
      </c>
    </row>
    <row r="166" spans="1:10" ht="75" x14ac:dyDescent="0.25">
      <c r="A166" s="24" t="s">
        <v>283</v>
      </c>
      <c r="B166" s="24" t="s">
        <v>666</v>
      </c>
      <c r="C166" s="24" t="s">
        <v>292</v>
      </c>
      <c r="D166" s="24" t="s">
        <v>293</v>
      </c>
      <c r="E166" s="24" t="s">
        <v>678</v>
      </c>
      <c r="F166" s="24" t="s">
        <v>458</v>
      </c>
      <c r="G166" s="24" t="s">
        <v>929</v>
      </c>
      <c r="H166" s="24" t="s">
        <v>669</v>
      </c>
      <c r="I166" s="24" t="s">
        <v>923</v>
      </c>
      <c r="J166" s="24" t="s">
        <v>930</v>
      </c>
    </row>
    <row r="167" spans="1:10" ht="60" x14ac:dyDescent="0.25">
      <c r="A167" s="24" t="s">
        <v>283</v>
      </c>
      <c r="B167" s="24" t="s">
        <v>666</v>
      </c>
      <c r="C167" s="24" t="s">
        <v>292</v>
      </c>
      <c r="D167" s="24" t="s">
        <v>293</v>
      </c>
      <c r="E167" s="24" t="s">
        <v>681</v>
      </c>
      <c r="F167" s="24" t="s">
        <v>471</v>
      </c>
      <c r="G167" s="24" t="s">
        <v>931</v>
      </c>
      <c r="H167" s="24" t="s">
        <v>669</v>
      </c>
      <c r="I167" s="24" t="s">
        <v>923</v>
      </c>
      <c r="J167" s="24" t="s">
        <v>932</v>
      </c>
    </row>
    <row r="168" spans="1:10" ht="75" x14ac:dyDescent="0.25">
      <c r="A168" s="24" t="s">
        <v>283</v>
      </c>
      <c r="B168" s="24" t="s">
        <v>666</v>
      </c>
      <c r="C168" s="24" t="s">
        <v>292</v>
      </c>
      <c r="D168" s="24" t="s">
        <v>293</v>
      </c>
      <c r="E168" s="24" t="s">
        <v>684</v>
      </c>
      <c r="F168" s="24" t="s">
        <v>484</v>
      </c>
      <c r="G168" s="24" t="s">
        <v>933</v>
      </c>
      <c r="H168" s="24" t="s">
        <v>669</v>
      </c>
      <c r="I168" s="24" t="s">
        <v>923</v>
      </c>
      <c r="J168" s="24" t="s">
        <v>934</v>
      </c>
    </row>
    <row r="169" spans="1:10" ht="75" x14ac:dyDescent="0.25">
      <c r="A169" s="24" t="s">
        <v>283</v>
      </c>
      <c r="B169" s="24" t="s">
        <v>666</v>
      </c>
      <c r="C169" s="24" t="s">
        <v>292</v>
      </c>
      <c r="D169" s="24" t="s">
        <v>293</v>
      </c>
      <c r="E169" s="24" t="s">
        <v>687</v>
      </c>
      <c r="F169" s="24" t="s">
        <v>497</v>
      </c>
      <c r="G169" s="24" t="s">
        <v>935</v>
      </c>
      <c r="H169" s="24" t="s">
        <v>669</v>
      </c>
      <c r="I169" s="24" t="s">
        <v>923</v>
      </c>
      <c r="J169" s="24" t="s">
        <v>936</v>
      </c>
    </row>
    <row r="170" spans="1:10" ht="60" x14ac:dyDescent="0.25">
      <c r="A170" s="24" t="s">
        <v>283</v>
      </c>
      <c r="B170" s="24" t="s">
        <v>666</v>
      </c>
      <c r="C170" s="24" t="s">
        <v>296</v>
      </c>
      <c r="D170" s="24" t="s">
        <v>297</v>
      </c>
      <c r="E170" s="24" t="s">
        <v>667</v>
      </c>
      <c r="F170" s="24" t="s">
        <v>421</v>
      </c>
      <c r="G170" s="24" t="s">
        <v>937</v>
      </c>
      <c r="H170" s="24" t="s">
        <v>669</v>
      </c>
      <c r="I170" s="24" t="s">
        <v>938</v>
      </c>
      <c r="J170" s="24" t="s">
        <v>831</v>
      </c>
    </row>
    <row r="171" spans="1:10" ht="60" x14ac:dyDescent="0.25">
      <c r="A171" s="24" t="s">
        <v>283</v>
      </c>
      <c r="B171" s="24" t="s">
        <v>666</v>
      </c>
      <c r="C171" s="24" t="s">
        <v>296</v>
      </c>
      <c r="D171" s="24" t="s">
        <v>297</v>
      </c>
      <c r="E171" s="24" t="s">
        <v>672</v>
      </c>
      <c r="F171" s="24" t="s">
        <v>434</v>
      </c>
      <c r="G171" s="24" t="s">
        <v>939</v>
      </c>
      <c r="H171" s="24" t="s">
        <v>669</v>
      </c>
      <c r="I171" s="24" t="s">
        <v>938</v>
      </c>
      <c r="J171" s="24" t="s">
        <v>833</v>
      </c>
    </row>
    <row r="172" spans="1:10" ht="60" x14ac:dyDescent="0.25">
      <c r="A172" s="24" t="s">
        <v>283</v>
      </c>
      <c r="B172" s="24" t="s">
        <v>666</v>
      </c>
      <c r="C172" s="24" t="s">
        <v>296</v>
      </c>
      <c r="D172" s="24" t="s">
        <v>297</v>
      </c>
      <c r="E172" s="24" t="s">
        <v>675</v>
      </c>
      <c r="F172" s="24" t="s">
        <v>447</v>
      </c>
      <c r="G172" s="24" t="s">
        <v>940</v>
      </c>
      <c r="H172" s="24" t="s">
        <v>669</v>
      </c>
      <c r="I172" s="24" t="s">
        <v>938</v>
      </c>
      <c r="J172" s="24" t="s">
        <v>835</v>
      </c>
    </row>
    <row r="173" spans="1:10" ht="60" x14ac:dyDescent="0.25">
      <c r="A173" s="24" t="s">
        <v>283</v>
      </c>
      <c r="B173" s="24" t="s">
        <v>666</v>
      </c>
      <c r="C173" s="24" t="s">
        <v>296</v>
      </c>
      <c r="D173" s="24" t="s">
        <v>297</v>
      </c>
      <c r="E173" s="24" t="s">
        <v>678</v>
      </c>
      <c r="F173" s="24" t="s">
        <v>458</v>
      </c>
      <c r="G173" s="24" t="s">
        <v>941</v>
      </c>
      <c r="H173" s="24" t="s">
        <v>669</v>
      </c>
      <c r="I173" s="24" t="s">
        <v>938</v>
      </c>
      <c r="J173" s="24" t="s">
        <v>837</v>
      </c>
    </row>
    <row r="174" spans="1:10" ht="60" x14ac:dyDescent="0.25">
      <c r="A174" s="24" t="s">
        <v>283</v>
      </c>
      <c r="B174" s="24" t="s">
        <v>666</v>
      </c>
      <c r="C174" s="24" t="s">
        <v>296</v>
      </c>
      <c r="D174" s="24" t="s">
        <v>297</v>
      </c>
      <c r="E174" s="24" t="s">
        <v>681</v>
      </c>
      <c r="F174" s="24" t="s">
        <v>471</v>
      </c>
      <c r="G174" s="24" t="s">
        <v>942</v>
      </c>
      <c r="H174" s="24" t="s">
        <v>669</v>
      </c>
      <c r="I174" s="24" t="s">
        <v>938</v>
      </c>
      <c r="J174" s="24" t="s">
        <v>839</v>
      </c>
    </row>
    <row r="175" spans="1:10" ht="60" x14ac:dyDescent="0.25">
      <c r="A175" s="24" t="s">
        <v>283</v>
      </c>
      <c r="B175" s="24" t="s">
        <v>666</v>
      </c>
      <c r="C175" s="24" t="s">
        <v>296</v>
      </c>
      <c r="D175" s="24" t="s">
        <v>297</v>
      </c>
      <c r="E175" s="24" t="s">
        <v>684</v>
      </c>
      <c r="F175" s="24" t="s">
        <v>484</v>
      </c>
      <c r="G175" s="24" t="s">
        <v>943</v>
      </c>
      <c r="H175" s="24" t="s">
        <v>669</v>
      </c>
      <c r="I175" s="24" t="s">
        <v>938</v>
      </c>
      <c r="J175" s="24" t="s">
        <v>841</v>
      </c>
    </row>
    <row r="176" spans="1:10" ht="75" x14ac:dyDescent="0.25">
      <c r="A176" s="24" t="s">
        <v>283</v>
      </c>
      <c r="B176" s="24" t="s">
        <v>666</v>
      </c>
      <c r="C176" s="24" t="s">
        <v>296</v>
      </c>
      <c r="D176" s="24" t="s">
        <v>297</v>
      </c>
      <c r="E176" s="24" t="s">
        <v>687</v>
      </c>
      <c r="F176" s="24" t="s">
        <v>497</v>
      </c>
      <c r="G176" s="24" t="s">
        <v>944</v>
      </c>
      <c r="H176" s="24" t="s">
        <v>669</v>
      </c>
      <c r="I176" s="24" t="s">
        <v>938</v>
      </c>
      <c r="J176" s="24" t="s">
        <v>843</v>
      </c>
    </row>
    <row r="177" spans="1:10" ht="60" x14ac:dyDescent="0.25">
      <c r="A177" s="24" t="s">
        <v>299</v>
      </c>
      <c r="B177" s="24" t="s">
        <v>666</v>
      </c>
      <c r="C177" s="24" t="s">
        <v>300</v>
      </c>
      <c r="D177" s="24" t="s">
        <v>101</v>
      </c>
      <c r="E177" s="24" t="s">
        <v>667</v>
      </c>
      <c r="F177" s="24" t="s">
        <v>421</v>
      </c>
      <c r="G177" s="24" t="s">
        <v>945</v>
      </c>
      <c r="H177" s="24" t="s">
        <v>669</v>
      </c>
      <c r="I177" s="24" t="s">
        <v>946</v>
      </c>
      <c r="J177" s="24" t="s">
        <v>700</v>
      </c>
    </row>
    <row r="178" spans="1:10" ht="60" x14ac:dyDescent="0.25">
      <c r="A178" s="24" t="s">
        <v>299</v>
      </c>
      <c r="B178" s="24" t="s">
        <v>666</v>
      </c>
      <c r="C178" s="24" t="s">
        <v>300</v>
      </c>
      <c r="D178" s="24" t="s">
        <v>101</v>
      </c>
      <c r="E178" s="24" t="s">
        <v>672</v>
      </c>
      <c r="F178" s="24" t="s">
        <v>434</v>
      </c>
      <c r="G178" s="24" t="s">
        <v>947</v>
      </c>
      <c r="H178" s="24" t="s">
        <v>669</v>
      </c>
      <c r="I178" s="24" t="s">
        <v>946</v>
      </c>
      <c r="J178" s="24" t="s">
        <v>702</v>
      </c>
    </row>
    <row r="179" spans="1:10" ht="60" x14ac:dyDescent="0.25">
      <c r="A179" s="24" t="s">
        <v>299</v>
      </c>
      <c r="B179" s="24" t="s">
        <v>666</v>
      </c>
      <c r="C179" s="24" t="s">
        <v>300</v>
      </c>
      <c r="D179" s="24" t="s">
        <v>101</v>
      </c>
      <c r="E179" s="24" t="s">
        <v>675</v>
      </c>
      <c r="F179" s="24" t="s">
        <v>447</v>
      </c>
      <c r="G179" s="24" t="s">
        <v>948</v>
      </c>
      <c r="H179" s="24" t="s">
        <v>669</v>
      </c>
      <c r="I179" s="24" t="s">
        <v>946</v>
      </c>
      <c r="J179" s="24" t="s">
        <v>704</v>
      </c>
    </row>
    <row r="180" spans="1:10" ht="75" x14ac:dyDescent="0.25">
      <c r="A180" s="24" t="s">
        <v>299</v>
      </c>
      <c r="B180" s="24" t="s">
        <v>666</v>
      </c>
      <c r="C180" s="24" t="s">
        <v>300</v>
      </c>
      <c r="D180" s="24" t="s">
        <v>101</v>
      </c>
      <c r="E180" s="24" t="s">
        <v>678</v>
      </c>
      <c r="F180" s="24" t="s">
        <v>458</v>
      </c>
      <c r="G180" s="24" t="s">
        <v>949</v>
      </c>
      <c r="H180" s="24" t="s">
        <v>669</v>
      </c>
      <c r="I180" s="24" t="s">
        <v>946</v>
      </c>
      <c r="J180" s="24" t="s">
        <v>706</v>
      </c>
    </row>
    <row r="181" spans="1:10" ht="60" x14ac:dyDescent="0.25">
      <c r="A181" s="24" t="s">
        <v>299</v>
      </c>
      <c r="B181" s="24" t="s">
        <v>666</v>
      </c>
      <c r="C181" s="24" t="s">
        <v>300</v>
      </c>
      <c r="D181" s="24" t="s">
        <v>101</v>
      </c>
      <c r="E181" s="24" t="s">
        <v>681</v>
      </c>
      <c r="F181" s="24" t="s">
        <v>471</v>
      </c>
      <c r="G181" s="24" t="s">
        <v>950</v>
      </c>
      <c r="H181" s="24" t="s">
        <v>669</v>
      </c>
      <c r="I181" s="24" t="s">
        <v>946</v>
      </c>
      <c r="J181" s="24" t="s">
        <v>708</v>
      </c>
    </row>
    <row r="182" spans="1:10" ht="75" x14ac:dyDescent="0.25">
      <c r="A182" s="24" t="s">
        <v>299</v>
      </c>
      <c r="B182" s="24" t="s">
        <v>666</v>
      </c>
      <c r="C182" s="24" t="s">
        <v>300</v>
      </c>
      <c r="D182" s="24" t="s">
        <v>101</v>
      </c>
      <c r="E182" s="24" t="s">
        <v>684</v>
      </c>
      <c r="F182" s="24" t="s">
        <v>484</v>
      </c>
      <c r="G182" s="24" t="s">
        <v>951</v>
      </c>
      <c r="H182" s="24" t="s">
        <v>669</v>
      </c>
      <c r="I182" s="24" t="s">
        <v>946</v>
      </c>
      <c r="J182" s="24" t="s">
        <v>710</v>
      </c>
    </row>
    <row r="183" spans="1:10" ht="75" x14ac:dyDescent="0.25">
      <c r="A183" s="24" t="s">
        <v>299</v>
      </c>
      <c r="B183" s="24" t="s">
        <v>666</v>
      </c>
      <c r="C183" s="24" t="s">
        <v>300</v>
      </c>
      <c r="D183" s="24" t="s">
        <v>101</v>
      </c>
      <c r="E183" s="24" t="s">
        <v>687</v>
      </c>
      <c r="F183" s="24" t="s">
        <v>497</v>
      </c>
      <c r="G183" s="24" t="s">
        <v>952</v>
      </c>
      <c r="H183" s="24" t="s">
        <v>669</v>
      </c>
      <c r="I183" s="24" t="s">
        <v>946</v>
      </c>
      <c r="J183" s="24" t="s">
        <v>712</v>
      </c>
    </row>
    <row r="184" spans="1:10" ht="60" x14ac:dyDescent="0.25">
      <c r="A184" s="24" t="s">
        <v>299</v>
      </c>
      <c r="B184" s="24" t="s">
        <v>666</v>
      </c>
      <c r="C184" s="24" t="s">
        <v>302</v>
      </c>
      <c r="D184" s="24" t="s">
        <v>103</v>
      </c>
      <c r="E184" s="24" t="s">
        <v>667</v>
      </c>
      <c r="F184" s="24" t="s">
        <v>421</v>
      </c>
      <c r="G184" s="24" t="s">
        <v>953</v>
      </c>
      <c r="H184" s="24" t="s">
        <v>669</v>
      </c>
      <c r="I184" s="24" t="s">
        <v>954</v>
      </c>
      <c r="J184" s="24" t="s">
        <v>715</v>
      </c>
    </row>
    <row r="185" spans="1:10" ht="60" x14ac:dyDescent="0.25">
      <c r="A185" s="24" t="s">
        <v>299</v>
      </c>
      <c r="B185" s="24" t="s">
        <v>666</v>
      </c>
      <c r="C185" s="24" t="s">
        <v>302</v>
      </c>
      <c r="D185" s="24" t="s">
        <v>103</v>
      </c>
      <c r="E185" s="24" t="s">
        <v>672</v>
      </c>
      <c r="F185" s="24" t="s">
        <v>434</v>
      </c>
      <c r="G185" s="24" t="s">
        <v>955</v>
      </c>
      <c r="H185" s="24" t="s">
        <v>669</v>
      </c>
      <c r="I185" s="24" t="s">
        <v>954</v>
      </c>
      <c r="J185" s="24" t="s">
        <v>717</v>
      </c>
    </row>
    <row r="186" spans="1:10" ht="60" x14ac:dyDescent="0.25">
      <c r="A186" s="24" t="s">
        <v>299</v>
      </c>
      <c r="B186" s="24" t="s">
        <v>666</v>
      </c>
      <c r="C186" s="24" t="s">
        <v>302</v>
      </c>
      <c r="D186" s="24" t="s">
        <v>103</v>
      </c>
      <c r="E186" s="24" t="s">
        <v>675</v>
      </c>
      <c r="F186" s="24" t="s">
        <v>447</v>
      </c>
      <c r="G186" s="24" t="s">
        <v>956</v>
      </c>
      <c r="H186" s="24" t="s">
        <v>669</v>
      </c>
      <c r="I186" s="24" t="s">
        <v>954</v>
      </c>
      <c r="J186" s="24" t="s">
        <v>719</v>
      </c>
    </row>
    <row r="187" spans="1:10" ht="60" x14ac:dyDescent="0.25">
      <c r="A187" s="24" t="s">
        <v>299</v>
      </c>
      <c r="B187" s="24" t="s">
        <v>666</v>
      </c>
      <c r="C187" s="24" t="s">
        <v>302</v>
      </c>
      <c r="D187" s="24" t="s">
        <v>103</v>
      </c>
      <c r="E187" s="24" t="s">
        <v>678</v>
      </c>
      <c r="F187" s="24" t="s">
        <v>458</v>
      </c>
      <c r="G187" s="24" t="s">
        <v>957</v>
      </c>
      <c r="H187" s="24" t="s">
        <v>669</v>
      </c>
      <c r="I187" s="24" t="s">
        <v>954</v>
      </c>
      <c r="J187" s="24" t="s">
        <v>721</v>
      </c>
    </row>
    <row r="188" spans="1:10" ht="60" x14ac:dyDescent="0.25">
      <c r="A188" s="24" t="s">
        <v>299</v>
      </c>
      <c r="B188" s="24" t="s">
        <v>666</v>
      </c>
      <c r="C188" s="24" t="s">
        <v>302</v>
      </c>
      <c r="D188" s="24" t="s">
        <v>103</v>
      </c>
      <c r="E188" s="24" t="s">
        <v>681</v>
      </c>
      <c r="F188" s="24" t="s">
        <v>471</v>
      </c>
      <c r="G188" s="24" t="s">
        <v>958</v>
      </c>
      <c r="H188" s="24" t="s">
        <v>669</v>
      </c>
      <c r="I188" s="24" t="s">
        <v>954</v>
      </c>
      <c r="J188" s="24" t="s">
        <v>723</v>
      </c>
    </row>
    <row r="189" spans="1:10" ht="60" x14ac:dyDescent="0.25">
      <c r="A189" s="24" t="s">
        <v>299</v>
      </c>
      <c r="B189" s="24" t="s">
        <v>666</v>
      </c>
      <c r="C189" s="24" t="s">
        <v>302</v>
      </c>
      <c r="D189" s="24" t="s">
        <v>103</v>
      </c>
      <c r="E189" s="24" t="s">
        <v>684</v>
      </c>
      <c r="F189" s="24" t="s">
        <v>484</v>
      </c>
      <c r="G189" s="24" t="s">
        <v>959</v>
      </c>
      <c r="H189" s="24" t="s">
        <v>669</v>
      </c>
      <c r="I189" s="24" t="s">
        <v>954</v>
      </c>
      <c r="J189" s="24" t="s">
        <v>725</v>
      </c>
    </row>
    <row r="190" spans="1:10" ht="75" x14ac:dyDescent="0.25">
      <c r="A190" s="24" t="s">
        <v>299</v>
      </c>
      <c r="B190" s="24" t="s">
        <v>666</v>
      </c>
      <c r="C190" s="24" t="s">
        <v>302</v>
      </c>
      <c r="D190" s="24" t="s">
        <v>103</v>
      </c>
      <c r="E190" s="24" t="s">
        <v>687</v>
      </c>
      <c r="F190" s="24" t="s">
        <v>497</v>
      </c>
      <c r="G190" s="24" t="s">
        <v>960</v>
      </c>
      <c r="H190" s="24" t="s">
        <v>669</v>
      </c>
      <c r="I190" s="24" t="s">
        <v>954</v>
      </c>
      <c r="J190" s="24" t="s">
        <v>727</v>
      </c>
    </row>
    <row r="191" spans="1:10" ht="60" x14ac:dyDescent="0.25">
      <c r="A191" s="24" t="s">
        <v>299</v>
      </c>
      <c r="B191" s="24" t="s">
        <v>666</v>
      </c>
      <c r="C191" s="24" t="s">
        <v>98</v>
      </c>
      <c r="D191" s="24" t="s">
        <v>304</v>
      </c>
      <c r="E191" s="24" t="s">
        <v>667</v>
      </c>
      <c r="F191" s="24" t="s">
        <v>421</v>
      </c>
      <c r="G191" s="24" t="s">
        <v>961</v>
      </c>
      <c r="H191" s="24" t="s">
        <v>669</v>
      </c>
      <c r="I191" s="24" t="s">
        <v>962</v>
      </c>
      <c r="J191" s="24" t="s">
        <v>671</v>
      </c>
    </row>
    <row r="192" spans="1:10" ht="60" x14ac:dyDescent="0.25">
      <c r="A192" s="24" t="s">
        <v>299</v>
      </c>
      <c r="B192" s="24" t="s">
        <v>666</v>
      </c>
      <c r="C192" s="24" t="s">
        <v>98</v>
      </c>
      <c r="D192" s="24" t="s">
        <v>304</v>
      </c>
      <c r="E192" s="24" t="s">
        <v>672</v>
      </c>
      <c r="F192" s="24" t="s">
        <v>434</v>
      </c>
      <c r="G192" s="24" t="s">
        <v>963</v>
      </c>
      <c r="H192" s="24" t="s">
        <v>669</v>
      </c>
      <c r="I192" s="24" t="s">
        <v>962</v>
      </c>
      <c r="J192" s="24" t="s">
        <v>674</v>
      </c>
    </row>
    <row r="193" spans="1:10" ht="60" x14ac:dyDescent="0.25">
      <c r="A193" s="24" t="s">
        <v>299</v>
      </c>
      <c r="B193" s="24" t="s">
        <v>666</v>
      </c>
      <c r="C193" s="24" t="s">
        <v>98</v>
      </c>
      <c r="D193" s="24" t="s">
        <v>304</v>
      </c>
      <c r="E193" s="24" t="s">
        <v>675</v>
      </c>
      <c r="F193" s="24" t="s">
        <v>447</v>
      </c>
      <c r="G193" s="24" t="s">
        <v>964</v>
      </c>
      <c r="H193" s="24" t="s">
        <v>669</v>
      </c>
      <c r="I193" s="24" t="s">
        <v>962</v>
      </c>
      <c r="J193" s="24" t="s">
        <v>677</v>
      </c>
    </row>
    <row r="194" spans="1:10" ht="60" x14ac:dyDescent="0.25">
      <c r="A194" s="24" t="s">
        <v>299</v>
      </c>
      <c r="B194" s="24" t="s">
        <v>666</v>
      </c>
      <c r="C194" s="24" t="s">
        <v>98</v>
      </c>
      <c r="D194" s="24" t="s">
        <v>304</v>
      </c>
      <c r="E194" s="24" t="s">
        <v>678</v>
      </c>
      <c r="F194" s="24" t="s">
        <v>458</v>
      </c>
      <c r="G194" s="24" t="s">
        <v>965</v>
      </c>
      <c r="H194" s="24" t="s">
        <v>669</v>
      </c>
      <c r="I194" s="24" t="s">
        <v>962</v>
      </c>
      <c r="J194" s="24" t="s">
        <v>680</v>
      </c>
    </row>
    <row r="195" spans="1:10" ht="60" x14ac:dyDescent="0.25">
      <c r="A195" s="24" t="s">
        <v>299</v>
      </c>
      <c r="B195" s="24" t="s">
        <v>666</v>
      </c>
      <c r="C195" s="24" t="s">
        <v>98</v>
      </c>
      <c r="D195" s="24" t="s">
        <v>304</v>
      </c>
      <c r="E195" s="24" t="s">
        <v>681</v>
      </c>
      <c r="F195" s="24" t="s">
        <v>471</v>
      </c>
      <c r="G195" s="24" t="s">
        <v>966</v>
      </c>
      <c r="H195" s="24" t="s">
        <v>669</v>
      </c>
      <c r="I195" s="24" t="s">
        <v>962</v>
      </c>
      <c r="J195" s="24" t="s">
        <v>683</v>
      </c>
    </row>
    <row r="196" spans="1:10" ht="60" x14ac:dyDescent="0.25">
      <c r="A196" s="24" t="s">
        <v>299</v>
      </c>
      <c r="B196" s="24" t="s">
        <v>666</v>
      </c>
      <c r="C196" s="24" t="s">
        <v>98</v>
      </c>
      <c r="D196" s="24" t="s">
        <v>304</v>
      </c>
      <c r="E196" s="24" t="s">
        <v>684</v>
      </c>
      <c r="F196" s="24" t="s">
        <v>484</v>
      </c>
      <c r="G196" s="24" t="s">
        <v>967</v>
      </c>
      <c r="H196" s="24" t="s">
        <v>669</v>
      </c>
      <c r="I196" s="24" t="s">
        <v>962</v>
      </c>
      <c r="J196" s="24" t="s">
        <v>686</v>
      </c>
    </row>
    <row r="197" spans="1:10" ht="75" x14ac:dyDescent="0.25">
      <c r="A197" s="24" t="s">
        <v>299</v>
      </c>
      <c r="B197" s="24" t="s">
        <v>666</v>
      </c>
      <c r="C197" s="24" t="s">
        <v>98</v>
      </c>
      <c r="D197" s="24" t="s">
        <v>304</v>
      </c>
      <c r="E197" s="24" t="s">
        <v>687</v>
      </c>
      <c r="F197" s="24" t="s">
        <v>497</v>
      </c>
      <c r="G197" s="24" t="s">
        <v>968</v>
      </c>
      <c r="H197" s="24" t="s">
        <v>669</v>
      </c>
      <c r="I197" s="24" t="s">
        <v>962</v>
      </c>
      <c r="J197" s="24" t="s">
        <v>689</v>
      </c>
    </row>
    <row r="198" spans="1:10" ht="60" x14ac:dyDescent="0.25">
      <c r="A198" s="24" t="s">
        <v>299</v>
      </c>
      <c r="B198" s="24" t="s">
        <v>666</v>
      </c>
      <c r="C198" s="24" t="s">
        <v>306</v>
      </c>
      <c r="D198" s="24" t="s">
        <v>307</v>
      </c>
      <c r="E198" s="24" t="s">
        <v>667</v>
      </c>
      <c r="F198" s="24" t="s">
        <v>421</v>
      </c>
      <c r="G198" s="24" t="s">
        <v>969</v>
      </c>
      <c r="H198" s="24" t="s">
        <v>669</v>
      </c>
      <c r="I198" s="24" t="s">
        <v>970</v>
      </c>
      <c r="J198" s="24" t="s">
        <v>831</v>
      </c>
    </row>
    <row r="199" spans="1:10" ht="60" x14ac:dyDescent="0.25">
      <c r="A199" s="24" t="s">
        <v>299</v>
      </c>
      <c r="B199" s="24" t="s">
        <v>666</v>
      </c>
      <c r="C199" s="24" t="s">
        <v>306</v>
      </c>
      <c r="D199" s="24" t="s">
        <v>307</v>
      </c>
      <c r="E199" s="24" t="s">
        <v>672</v>
      </c>
      <c r="F199" s="24" t="s">
        <v>434</v>
      </c>
      <c r="G199" s="24" t="s">
        <v>971</v>
      </c>
      <c r="H199" s="24" t="s">
        <v>669</v>
      </c>
      <c r="I199" s="24" t="s">
        <v>970</v>
      </c>
      <c r="J199" s="24" t="s">
        <v>833</v>
      </c>
    </row>
    <row r="200" spans="1:10" ht="60" x14ac:dyDescent="0.25">
      <c r="A200" s="24" t="s">
        <v>299</v>
      </c>
      <c r="B200" s="24" t="s">
        <v>666</v>
      </c>
      <c r="C200" s="24" t="s">
        <v>306</v>
      </c>
      <c r="D200" s="24" t="s">
        <v>307</v>
      </c>
      <c r="E200" s="24" t="s">
        <v>675</v>
      </c>
      <c r="F200" s="24" t="s">
        <v>447</v>
      </c>
      <c r="G200" s="24" t="s">
        <v>972</v>
      </c>
      <c r="H200" s="24" t="s">
        <v>669</v>
      </c>
      <c r="I200" s="24" t="s">
        <v>970</v>
      </c>
      <c r="J200" s="24" t="s">
        <v>835</v>
      </c>
    </row>
    <row r="201" spans="1:10" ht="75" x14ac:dyDescent="0.25">
      <c r="A201" s="24" t="s">
        <v>299</v>
      </c>
      <c r="B201" s="24" t="s">
        <v>666</v>
      </c>
      <c r="C201" s="24" t="s">
        <v>306</v>
      </c>
      <c r="D201" s="24" t="s">
        <v>307</v>
      </c>
      <c r="E201" s="24" t="s">
        <v>678</v>
      </c>
      <c r="F201" s="24" t="s">
        <v>458</v>
      </c>
      <c r="G201" s="24" t="s">
        <v>973</v>
      </c>
      <c r="H201" s="24" t="s">
        <v>669</v>
      </c>
      <c r="I201" s="24" t="s">
        <v>970</v>
      </c>
      <c r="J201" s="24" t="s">
        <v>837</v>
      </c>
    </row>
    <row r="202" spans="1:10" ht="75" x14ac:dyDescent="0.25">
      <c r="A202" s="24" t="s">
        <v>299</v>
      </c>
      <c r="B202" s="24" t="s">
        <v>666</v>
      </c>
      <c r="C202" s="24" t="s">
        <v>306</v>
      </c>
      <c r="D202" s="24" t="s">
        <v>307</v>
      </c>
      <c r="E202" s="24" t="s">
        <v>681</v>
      </c>
      <c r="F202" s="24" t="s">
        <v>471</v>
      </c>
      <c r="G202" s="24" t="s">
        <v>974</v>
      </c>
      <c r="H202" s="24" t="s">
        <v>669</v>
      </c>
      <c r="I202" s="24" t="s">
        <v>970</v>
      </c>
      <c r="J202" s="24" t="s">
        <v>839</v>
      </c>
    </row>
    <row r="203" spans="1:10" ht="75" x14ac:dyDescent="0.25">
      <c r="A203" s="24" t="s">
        <v>299</v>
      </c>
      <c r="B203" s="24" t="s">
        <v>666</v>
      </c>
      <c r="C203" s="24" t="s">
        <v>306</v>
      </c>
      <c r="D203" s="24" t="s">
        <v>307</v>
      </c>
      <c r="E203" s="24" t="s">
        <v>684</v>
      </c>
      <c r="F203" s="24" t="s">
        <v>484</v>
      </c>
      <c r="G203" s="24" t="s">
        <v>975</v>
      </c>
      <c r="H203" s="24" t="s">
        <v>669</v>
      </c>
      <c r="I203" s="24" t="s">
        <v>970</v>
      </c>
      <c r="J203" s="24" t="s">
        <v>841</v>
      </c>
    </row>
    <row r="204" spans="1:10" ht="75" x14ac:dyDescent="0.25">
      <c r="A204" s="24" t="s">
        <v>299</v>
      </c>
      <c r="B204" s="24" t="s">
        <v>666</v>
      </c>
      <c r="C204" s="24" t="s">
        <v>306</v>
      </c>
      <c r="D204" s="24" t="s">
        <v>307</v>
      </c>
      <c r="E204" s="24" t="s">
        <v>687</v>
      </c>
      <c r="F204" s="24" t="s">
        <v>497</v>
      </c>
      <c r="G204" s="24" t="s">
        <v>976</v>
      </c>
      <c r="H204" s="24" t="s">
        <v>669</v>
      </c>
      <c r="I204" s="24" t="s">
        <v>970</v>
      </c>
      <c r="J204" s="24" t="s">
        <v>843</v>
      </c>
    </row>
    <row r="205" spans="1:10" ht="60" x14ac:dyDescent="0.25">
      <c r="A205" s="24" t="s">
        <v>299</v>
      </c>
      <c r="B205" s="24" t="s">
        <v>666</v>
      </c>
      <c r="C205" s="24" t="s">
        <v>309</v>
      </c>
      <c r="D205" s="24" t="s">
        <v>310</v>
      </c>
      <c r="E205" s="24" t="s">
        <v>667</v>
      </c>
      <c r="F205" s="24" t="s">
        <v>421</v>
      </c>
      <c r="G205" s="24" t="s">
        <v>977</v>
      </c>
      <c r="H205" s="24" t="s">
        <v>669</v>
      </c>
      <c r="I205" s="24" t="s">
        <v>978</v>
      </c>
      <c r="J205" s="24" t="s">
        <v>979</v>
      </c>
    </row>
    <row r="206" spans="1:10" ht="60" x14ac:dyDescent="0.25">
      <c r="A206" s="24" t="s">
        <v>299</v>
      </c>
      <c r="B206" s="24" t="s">
        <v>666</v>
      </c>
      <c r="C206" s="24" t="s">
        <v>309</v>
      </c>
      <c r="D206" s="24" t="s">
        <v>310</v>
      </c>
      <c r="E206" s="24" t="s">
        <v>672</v>
      </c>
      <c r="F206" s="24" t="s">
        <v>434</v>
      </c>
      <c r="G206" s="24" t="s">
        <v>980</v>
      </c>
      <c r="H206" s="24" t="s">
        <v>669</v>
      </c>
      <c r="I206" s="24" t="s">
        <v>978</v>
      </c>
      <c r="J206" s="24" t="s">
        <v>981</v>
      </c>
    </row>
    <row r="207" spans="1:10" ht="60" x14ac:dyDescent="0.25">
      <c r="A207" s="24" t="s">
        <v>299</v>
      </c>
      <c r="B207" s="24" t="s">
        <v>666</v>
      </c>
      <c r="C207" s="24" t="s">
        <v>309</v>
      </c>
      <c r="D207" s="24" t="s">
        <v>310</v>
      </c>
      <c r="E207" s="24" t="s">
        <v>675</v>
      </c>
      <c r="F207" s="24" t="s">
        <v>447</v>
      </c>
      <c r="G207" s="24" t="s">
        <v>982</v>
      </c>
      <c r="H207" s="24" t="s">
        <v>669</v>
      </c>
      <c r="I207" s="24" t="s">
        <v>978</v>
      </c>
      <c r="J207" s="24" t="s">
        <v>983</v>
      </c>
    </row>
    <row r="208" spans="1:10" ht="75" x14ac:dyDescent="0.25">
      <c r="A208" s="24" t="s">
        <v>299</v>
      </c>
      <c r="B208" s="24" t="s">
        <v>666</v>
      </c>
      <c r="C208" s="24" t="s">
        <v>309</v>
      </c>
      <c r="D208" s="24" t="s">
        <v>310</v>
      </c>
      <c r="E208" s="24" t="s">
        <v>678</v>
      </c>
      <c r="F208" s="24" t="s">
        <v>458</v>
      </c>
      <c r="G208" s="24" t="s">
        <v>984</v>
      </c>
      <c r="H208" s="24" t="s">
        <v>669</v>
      </c>
      <c r="I208" s="24" t="s">
        <v>978</v>
      </c>
      <c r="J208" s="24" t="s">
        <v>985</v>
      </c>
    </row>
    <row r="209" spans="1:10" ht="75" x14ac:dyDescent="0.25">
      <c r="A209" s="24" t="s">
        <v>299</v>
      </c>
      <c r="B209" s="24" t="s">
        <v>666</v>
      </c>
      <c r="C209" s="24" t="s">
        <v>309</v>
      </c>
      <c r="D209" s="24" t="s">
        <v>310</v>
      </c>
      <c r="E209" s="24" t="s">
        <v>681</v>
      </c>
      <c r="F209" s="24" t="s">
        <v>471</v>
      </c>
      <c r="G209" s="24" t="s">
        <v>986</v>
      </c>
      <c r="H209" s="24" t="s">
        <v>669</v>
      </c>
      <c r="I209" s="24" t="s">
        <v>978</v>
      </c>
      <c r="J209" s="24" t="s">
        <v>987</v>
      </c>
    </row>
    <row r="210" spans="1:10" ht="75" x14ac:dyDescent="0.25">
      <c r="A210" s="24" t="s">
        <v>299</v>
      </c>
      <c r="B210" s="24" t="s">
        <v>666</v>
      </c>
      <c r="C210" s="24" t="s">
        <v>309</v>
      </c>
      <c r="D210" s="24" t="s">
        <v>310</v>
      </c>
      <c r="E210" s="24" t="s">
        <v>684</v>
      </c>
      <c r="F210" s="24" t="s">
        <v>484</v>
      </c>
      <c r="G210" s="24" t="s">
        <v>988</v>
      </c>
      <c r="H210" s="24" t="s">
        <v>669</v>
      </c>
      <c r="I210" s="24" t="s">
        <v>978</v>
      </c>
      <c r="J210" s="24" t="s">
        <v>989</v>
      </c>
    </row>
    <row r="211" spans="1:10" ht="75" x14ac:dyDescent="0.25">
      <c r="A211" s="24" t="s">
        <v>299</v>
      </c>
      <c r="B211" s="24" t="s">
        <v>666</v>
      </c>
      <c r="C211" s="24" t="s">
        <v>309</v>
      </c>
      <c r="D211" s="24" t="s">
        <v>310</v>
      </c>
      <c r="E211" s="24" t="s">
        <v>687</v>
      </c>
      <c r="F211" s="24" t="s">
        <v>497</v>
      </c>
      <c r="G211" s="24" t="s">
        <v>990</v>
      </c>
      <c r="H211" s="24" t="s">
        <v>669</v>
      </c>
      <c r="I211" s="24" t="s">
        <v>978</v>
      </c>
      <c r="J211" s="24" t="s">
        <v>991</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76D161-FD77-449C-B7E1-624E3EAB3393}">
  <dimension ref="A1:H73"/>
  <sheetViews>
    <sheetView workbookViewId="0">
      <pane ySplit="1" topLeftCell="A2" activePane="bottomLeft" state="frozen"/>
      <selection pane="bottomLeft" sqref="A1:H1"/>
    </sheetView>
  </sheetViews>
  <sheetFormatPr defaultRowHeight="15" x14ac:dyDescent="0.25"/>
  <cols>
    <col min="1" max="1" width="15.28515625" style="1" customWidth="1"/>
    <col min="2" max="3" width="28.5703125" style="1" customWidth="1"/>
    <col min="4" max="6" width="43.85546875" style="1" customWidth="1"/>
    <col min="7" max="7" width="33.28515625" style="1" customWidth="1"/>
    <col min="8" max="8" width="44.7109375" style="1" customWidth="1"/>
  </cols>
  <sheetData>
    <row r="1" spans="1:8" ht="32.1" customHeight="1" x14ac:dyDescent="0.25">
      <c r="A1" s="1" t="s">
        <v>1122</v>
      </c>
      <c r="B1" s="1" t="s">
        <v>385</v>
      </c>
      <c r="C1" s="1" t="s">
        <v>1123</v>
      </c>
      <c r="D1" s="1" t="s">
        <v>1124</v>
      </c>
      <c r="E1" s="1" t="s">
        <v>1125</v>
      </c>
      <c r="F1" s="1" t="s">
        <v>1126</v>
      </c>
      <c r="G1" s="1" t="s">
        <v>664</v>
      </c>
      <c r="H1" s="1" t="s">
        <v>380</v>
      </c>
    </row>
    <row r="2" spans="1:8" ht="60" x14ac:dyDescent="0.25">
      <c r="A2" s="24" t="s">
        <v>1127</v>
      </c>
      <c r="B2" s="24" t="s">
        <v>1128</v>
      </c>
      <c r="C2" s="24" t="s">
        <v>436</v>
      </c>
      <c r="D2" s="24" t="s">
        <v>1129</v>
      </c>
      <c r="E2" s="24" t="s">
        <v>1130</v>
      </c>
      <c r="F2" s="24" t="s">
        <v>1131</v>
      </c>
      <c r="G2" s="24" t="s">
        <v>1132</v>
      </c>
      <c r="H2" s="24" t="s">
        <v>1133</v>
      </c>
    </row>
    <row r="3" spans="1:8" ht="60" x14ac:dyDescent="0.25">
      <c r="A3" s="24" t="s">
        <v>1134</v>
      </c>
      <c r="B3" s="24" t="s">
        <v>1135</v>
      </c>
      <c r="C3" s="24" t="s">
        <v>436</v>
      </c>
      <c r="D3" s="24" t="s">
        <v>1135</v>
      </c>
      <c r="E3" s="24" t="s">
        <v>1136</v>
      </c>
      <c r="F3" s="24" t="s">
        <v>1137</v>
      </c>
      <c r="G3" s="24" t="s">
        <v>1132</v>
      </c>
      <c r="H3" s="24" t="s">
        <v>1133</v>
      </c>
    </row>
    <row r="4" spans="1:8" ht="60" x14ac:dyDescent="0.25">
      <c r="A4" s="24" t="s">
        <v>1138</v>
      </c>
      <c r="B4" s="24" t="s">
        <v>1139</v>
      </c>
      <c r="C4" s="24" t="s">
        <v>436</v>
      </c>
      <c r="D4" s="24" t="s">
        <v>1139</v>
      </c>
      <c r="E4" s="24" t="s">
        <v>1140</v>
      </c>
      <c r="F4" s="24" t="s">
        <v>1141</v>
      </c>
      <c r="G4" s="24" t="s">
        <v>1132</v>
      </c>
      <c r="H4" s="24" t="s">
        <v>1133</v>
      </c>
    </row>
    <row r="5" spans="1:8" ht="45" x14ac:dyDescent="0.25">
      <c r="A5" s="24" t="s">
        <v>1142</v>
      </c>
      <c r="B5" s="24" t="s">
        <v>1143</v>
      </c>
      <c r="C5" s="24" t="s">
        <v>436</v>
      </c>
      <c r="D5" s="24" t="s">
        <v>1143</v>
      </c>
      <c r="E5" s="24" t="s">
        <v>1144</v>
      </c>
      <c r="F5" s="24" t="s">
        <v>1145</v>
      </c>
      <c r="G5" s="24" t="s">
        <v>1146</v>
      </c>
      <c r="H5" s="24" t="s">
        <v>1133</v>
      </c>
    </row>
    <row r="6" spans="1:8" ht="45" x14ac:dyDescent="0.25">
      <c r="A6" s="24" t="s">
        <v>1147</v>
      </c>
      <c r="B6" s="24" t="s">
        <v>1148</v>
      </c>
      <c r="C6" s="24" t="s">
        <v>436</v>
      </c>
      <c r="D6" s="24" t="s">
        <v>1148</v>
      </c>
      <c r="E6" s="24" t="s">
        <v>1149</v>
      </c>
      <c r="F6" s="24" t="s">
        <v>1150</v>
      </c>
      <c r="G6" s="24" t="s">
        <v>1132</v>
      </c>
      <c r="H6" s="24" t="s">
        <v>1133</v>
      </c>
    </row>
    <row r="7" spans="1:8" ht="60" x14ac:dyDescent="0.25">
      <c r="A7" s="24" t="s">
        <v>1151</v>
      </c>
      <c r="B7" s="24" t="s">
        <v>1152</v>
      </c>
      <c r="C7" s="24" t="s">
        <v>436</v>
      </c>
      <c r="D7" s="24" t="s">
        <v>1152</v>
      </c>
      <c r="E7" s="24" t="s">
        <v>1153</v>
      </c>
      <c r="F7" s="24" t="s">
        <v>1154</v>
      </c>
      <c r="G7" s="24" t="s">
        <v>1132</v>
      </c>
      <c r="H7" s="24" t="s">
        <v>1133</v>
      </c>
    </row>
    <row r="8" spans="1:8" ht="60" x14ac:dyDescent="0.25">
      <c r="A8" s="24" t="s">
        <v>1155</v>
      </c>
      <c r="B8" s="24" t="s">
        <v>1156</v>
      </c>
      <c r="C8" s="24" t="s">
        <v>436</v>
      </c>
      <c r="D8" s="24" t="s">
        <v>1156</v>
      </c>
      <c r="E8" s="24" t="s">
        <v>1157</v>
      </c>
      <c r="F8" s="24" t="s">
        <v>1158</v>
      </c>
      <c r="G8" s="24" t="s">
        <v>1132</v>
      </c>
      <c r="H8" s="24" t="s">
        <v>1133</v>
      </c>
    </row>
    <row r="9" spans="1:8" ht="60" x14ac:dyDescent="0.25">
      <c r="A9" s="24" t="s">
        <v>1159</v>
      </c>
      <c r="B9" s="24" t="s">
        <v>1160</v>
      </c>
      <c r="C9" s="24" t="s">
        <v>448</v>
      </c>
      <c r="D9" s="24" t="s">
        <v>1161</v>
      </c>
      <c r="E9" s="24" t="s">
        <v>1162</v>
      </c>
      <c r="F9" s="24" t="s">
        <v>1163</v>
      </c>
      <c r="G9" s="24" t="s">
        <v>1164</v>
      </c>
      <c r="H9" s="24" t="s">
        <v>1133</v>
      </c>
    </row>
    <row r="10" spans="1:8" ht="45" x14ac:dyDescent="0.25">
      <c r="A10" s="24" t="s">
        <v>1165</v>
      </c>
      <c r="B10" s="24" t="s">
        <v>1166</v>
      </c>
      <c r="C10" s="24" t="s">
        <v>448</v>
      </c>
      <c r="D10" s="24" t="s">
        <v>1166</v>
      </c>
      <c r="E10" s="24" t="s">
        <v>1167</v>
      </c>
      <c r="F10" s="24" t="s">
        <v>1168</v>
      </c>
      <c r="G10" s="24" t="s">
        <v>1164</v>
      </c>
      <c r="H10" s="24" t="s">
        <v>1133</v>
      </c>
    </row>
    <row r="11" spans="1:8" ht="45" x14ac:dyDescent="0.25">
      <c r="A11" s="24" t="s">
        <v>1169</v>
      </c>
      <c r="B11" s="24" t="s">
        <v>1170</v>
      </c>
      <c r="C11" s="24" t="s">
        <v>448</v>
      </c>
      <c r="D11" s="24" t="s">
        <v>1170</v>
      </c>
      <c r="E11" s="24" t="s">
        <v>1171</v>
      </c>
      <c r="F11" s="24" t="s">
        <v>1172</v>
      </c>
      <c r="G11" s="24" t="s">
        <v>1164</v>
      </c>
      <c r="H11" s="24" t="s">
        <v>1133</v>
      </c>
    </row>
    <row r="12" spans="1:8" ht="60" x14ac:dyDescent="0.25">
      <c r="A12" s="24" t="s">
        <v>1173</v>
      </c>
      <c r="B12" s="24" t="s">
        <v>1174</v>
      </c>
      <c r="C12" s="24" t="s">
        <v>448</v>
      </c>
      <c r="D12" s="24" t="s">
        <v>1174</v>
      </c>
      <c r="E12" s="24" t="s">
        <v>1175</v>
      </c>
      <c r="F12" s="24" t="s">
        <v>1176</v>
      </c>
      <c r="G12" s="24" t="s">
        <v>1164</v>
      </c>
      <c r="H12" s="24" t="s">
        <v>1133</v>
      </c>
    </row>
    <row r="13" spans="1:8" ht="60" x14ac:dyDescent="0.25">
      <c r="A13" s="24" t="s">
        <v>1177</v>
      </c>
      <c r="B13" s="24" t="s">
        <v>1178</v>
      </c>
      <c r="C13" s="24" t="s">
        <v>448</v>
      </c>
      <c r="D13" s="24" t="s">
        <v>1178</v>
      </c>
      <c r="E13" s="24" t="s">
        <v>1179</v>
      </c>
      <c r="F13" s="24" t="s">
        <v>1180</v>
      </c>
      <c r="G13" s="24" t="s">
        <v>1164</v>
      </c>
      <c r="H13" s="24" t="s">
        <v>1133</v>
      </c>
    </row>
    <row r="14" spans="1:8" ht="60" x14ac:dyDescent="0.25">
      <c r="A14" s="24" t="s">
        <v>1181</v>
      </c>
      <c r="B14" s="24" t="s">
        <v>1182</v>
      </c>
      <c r="C14" s="24" t="s">
        <v>448</v>
      </c>
      <c r="D14" s="24" t="s">
        <v>1182</v>
      </c>
      <c r="E14" s="24" t="s">
        <v>1183</v>
      </c>
      <c r="F14" s="24" t="s">
        <v>1184</v>
      </c>
      <c r="G14" s="24" t="s">
        <v>1164</v>
      </c>
      <c r="H14" s="24" t="s">
        <v>1133</v>
      </c>
    </row>
    <row r="15" spans="1:8" ht="60" x14ac:dyDescent="0.25">
      <c r="A15" s="24" t="s">
        <v>1185</v>
      </c>
      <c r="B15" s="24" t="s">
        <v>1186</v>
      </c>
      <c r="C15" s="24" t="s">
        <v>448</v>
      </c>
      <c r="D15" s="24" t="s">
        <v>1186</v>
      </c>
      <c r="E15" s="24" t="s">
        <v>1187</v>
      </c>
      <c r="F15" s="24" t="s">
        <v>1188</v>
      </c>
      <c r="G15" s="24" t="s">
        <v>1164</v>
      </c>
      <c r="H15" s="24" t="s">
        <v>1133</v>
      </c>
    </row>
    <row r="16" spans="1:8" ht="45" x14ac:dyDescent="0.25">
      <c r="A16" s="24" t="s">
        <v>1189</v>
      </c>
      <c r="B16" s="24" t="s">
        <v>185</v>
      </c>
      <c r="C16" s="24" t="s">
        <v>171</v>
      </c>
      <c r="D16" s="24" t="s">
        <v>186</v>
      </c>
      <c r="E16" s="24" t="s">
        <v>1190</v>
      </c>
      <c r="F16" s="24" t="s">
        <v>1191</v>
      </c>
      <c r="G16" s="24" t="s">
        <v>1192</v>
      </c>
      <c r="H16" s="24" t="s">
        <v>187</v>
      </c>
    </row>
    <row r="17" spans="1:8" ht="45" x14ac:dyDescent="0.25">
      <c r="A17" s="24" t="s">
        <v>1193</v>
      </c>
      <c r="B17" s="24" t="s">
        <v>172</v>
      </c>
      <c r="C17" s="24" t="s">
        <v>171</v>
      </c>
      <c r="D17" s="24" t="s">
        <v>173</v>
      </c>
      <c r="E17" s="24" t="s">
        <v>1194</v>
      </c>
      <c r="F17" s="24" t="s">
        <v>1195</v>
      </c>
      <c r="G17" s="24" t="s">
        <v>1192</v>
      </c>
      <c r="H17" s="24" t="s">
        <v>175</v>
      </c>
    </row>
    <row r="18" spans="1:8" ht="45" x14ac:dyDescent="0.25">
      <c r="A18" s="24" t="s">
        <v>1196</v>
      </c>
      <c r="B18" s="24" t="s">
        <v>182</v>
      </c>
      <c r="C18" s="24" t="s">
        <v>171</v>
      </c>
      <c r="D18" s="24" t="s">
        <v>183</v>
      </c>
      <c r="E18" s="24" t="s">
        <v>1197</v>
      </c>
      <c r="F18" s="24" t="s">
        <v>1198</v>
      </c>
      <c r="G18" s="24" t="s">
        <v>1192</v>
      </c>
      <c r="H18" s="24" t="s">
        <v>184</v>
      </c>
    </row>
    <row r="19" spans="1:8" ht="45" x14ac:dyDescent="0.25">
      <c r="A19" s="24" t="s">
        <v>1199</v>
      </c>
      <c r="B19" s="24" t="s">
        <v>179</v>
      </c>
      <c r="C19" s="24" t="s">
        <v>171</v>
      </c>
      <c r="D19" s="24" t="s">
        <v>180</v>
      </c>
      <c r="E19" s="24" t="s">
        <v>1200</v>
      </c>
      <c r="F19" s="24" t="s">
        <v>1201</v>
      </c>
      <c r="G19" s="24" t="s">
        <v>1192</v>
      </c>
      <c r="H19" s="24" t="s">
        <v>181</v>
      </c>
    </row>
    <row r="20" spans="1:8" ht="45" x14ac:dyDescent="0.25">
      <c r="A20" s="24" t="s">
        <v>1202</v>
      </c>
      <c r="B20" s="24" t="s">
        <v>176</v>
      </c>
      <c r="C20" s="24" t="s">
        <v>171</v>
      </c>
      <c r="D20" s="24" t="s">
        <v>177</v>
      </c>
      <c r="E20" s="24" t="s">
        <v>1203</v>
      </c>
      <c r="F20" s="24" t="s">
        <v>1204</v>
      </c>
      <c r="G20" s="24" t="s">
        <v>1192</v>
      </c>
      <c r="H20" s="24" t="s">
        <v>178</v>
      </c>
    </row>
    <row r="21" spans="1:8" ht="45" x14ac:dyDescent="0.25">
      <c r="A21" s="24" t="s">
        <v>1205</v>
      </c>
      <c r="B21" s="24" t="s">
        <v>188</v>
      </c>
      <c r="C21" s="24" t="s">
        <v>171</v>
      </c>
      <c r="D21" s="24" t="s">
        <v>189</v>
      </c>
      <c r="E21" s="24" t="s">
        <v>1206</v>
      </c>
      <c r="F21" s="24" t="s">
        <v>1207</v>
      </c>
      <c r="G21" s="24" t="s">
        <v>1192</v>
      </c>
      <c r="H21" s="24" t="s">
        <v>190</v>
      </c>
    </row>
    <row r="22" spans="1:8" ht="45" x14ac:dyDescent="0.25">
      <c r="A22" s="24" t="s">
        <v>1208</v>
      </c>
      <c r="B22" s="24" t="s">
        <v>206</v>
      </c>
      <c r="C22" s="24" t="s">
        <v>124</v>
      </c>
      <c r="D22" s="24" t="s">
        <v>207</v>
      </c>
      <c r="E22" s="24" t="s">
        <v>1209</v>
      </c>
      <c r="F22" s="24" t="s">
        <v>1210</v>
      </c>
      <c r="G22" s="24" t="s">
        <v>1192</v>
      </c>
      <c r="H22" s="24" t="s">
        <v>208</v>
      </c>
    </row>
    <row r="23" spans="1:8" ht="45" x14ac:dyDescent="0.25">
      <c r="A23" s="24" t="s">
        <v>1211</v>
      </c>
      <c r="B23" s="24" t="s">
        <v>203</v>
      </c>
      <c r="C23" s="24" t="s">
        <v>124</v>
      </c>
      <c r="D23" s="24" t="s">
        <v>204</v>
      </c>
      <c r="E23" s="24" t="s">
        <v>1212</v>
      </c>
      <c r="F23" s="24" t="s">
        <v>1213</v>
      </c>
      <c r="G23" s="24" t="s">
        <v>1192</v>
      </c>
      <c r="H23" s="24" t="s">
        <v>205</v>
      </c>
    </row>
    <row r="24" spans="1:8" ht="45" x14ac:dyDescent="0.25">
      <c r="A24" s="24" t="s">
        <v>1214</v>
      </c>
      <c r="B24" s="24" t="s">
        <v>194</v>
      </c>
      <c r="C24" s="24" t="s">
        <v>124</v>
      </c>
      <c r="D24" s="24" t="s">
        <v>195</v>
      </c>
      <c r="E24" s="24" t="s">
        <v>1215</v>
      </c>
      <c r="F24" s="24" t="s">
        <v>1216</v>
      </c>
      <c r="G24" s="24" t="s">
        <v>1192</v>
      </c>
      <c r="H24" s="24" t="s">
        <v>196</v>
      </c>
    </row>
    <row r="25" spans="1:8" ht="45" x14ac:dyDescent="0.25">
      <c r="A25" s="24" t="s">
        <v>1217</v>
      </c>
      <c r="B25" s="24" t="s">
        <v>191</v>
      </c>
      <c r="C25" s="24" t="s">
        <v>124</v>
      </c>
      <c r="D25" s="24" t="s">
        <v>192</v>
      </c>
      <c r="E25" s="24" t="s">
        <v>1218</v>
      </c>
      <c r="F25" s="24" t="s">
        <v>1219</v>
      </c>
      <c r="G25" s="24" t="s">
        <v>1192</v>
      </c>
      <c r="H25" s="24" t="s">
        <v>193</v>
      </c>
    </row>
    <row r="26" spans="1:8" ht="45" x14ac:dyDescent="0.25">
      <c r="A26" s="24" t="s">
        <v>1220</v>
      </c>
      <c r="B26" s="24" t="s">
        <v>197</v>
      </c>
      <c r="C26" s="24" t="s">
        <v>124</v>
      </c>
      <c r="D26" s="24" t="s">
        <v>198</v>
      </c>
      <c r="E26" s="24" t="s">
        <v>1221</v>
      </c>
      <c r="F26" s="24" t="s">
        <v>1222</v>
      </c>
      <c r="G26" s="24" t="s">
        <v>1192</v>
      </c>
      <c r="H26" s="24" t="s">
        <v>199</v>
      </c>
    </row>
    <row r="27" spans="1:8" ht="45" x14ac:dyDescent="0.25">
      <c r="A27" s="24" t="s">
        <v>1223</v>
      </c>
      <c r="B27" s="24" t="s">
        <v>200</v>
      </c>
      <c r="C27" s="24" t="s">
        <v>124</v>
      </c>
      <c r="D27" s="24" t="s">
        <v>201</v>
      </c>
      <c r="E27" s="24" t="s">
        <v>1224</v>
      </c>
      <c r="F27" s="24" t="s">
        <v>1225</v>
      </c>
      <c r="G27" s="24" t="s">
        <v>1192</v>
      </c>
      <c r="H27" s="24" t="s">
        <v>202</v>
      </c>
    </row>
    <row r="28" spans="1:8" ht="60" x14ac:dyDescent="0.25">
      <c r="A28" s="24" t="s">
        <v>1226</v>
      </c>
      <c r="B28" s="24" t="s">
        <v>1227</v>
      </c>
      <c r="C28" s="24" t="s">
        <v>473</v>
      </c>
      <c r="D28" s="24" t="s">
        <v>1227</v>
      </c>
      <c r="E28" s="24" t="s">
        <v>1228</v>
      </c>
      <c r="F28" s="24" t="s">
        <v>1229</v>
      </c>
      <c r="G28" s="24" t="s">
        <v>1230</v>
      </c>
      <c r="H28" s="24" t="s">
        <v>1133</v>
      </c>
    </row>
    <row r="29" spans="1:8" ht="60" x14ac:dyDescent="0.25">
      <c r="A29" s="24" t="s">
        <v>1231</v>
      </c>
      <c r="B29" s="24" t="s">
        <v>1232</v>
      </c>
      <c r="C29" s="24" t="s">
        <v>473</v>
      </c>
      <c r="D29" s="24" t="s">
        <v>1232</v>
      </c>
      <c r="E29" s="24" t="s">
        <v>1233</v>
      </c>
      <c r="F29" s="24" t="s">
        <v>1234</v>
      </c>
      <c r="G29" s="24" t="s">
        <v>1230</v>
      </c>
      <c r="H29" s="24" t="s">
        <v>1133</v>
      </c>
    </row>
    <row r="30" spans="1:8" ht="45" x14ac:dyDescent="0.25">
      <c r="A30" s="24" t="s">
        <v>1235</v>
      </c>
      <c r="B30" s="24" t="s">
        <v>1236</v>
      </c>
      <c r="C30" s="24" t="s">
        <v>473</v>
      </c>
      <c r="D30" s="24" t="s">
        <v>1236</v>
      </c>
      <c r="E30" s="24" t="s">
        <v>1237</v>
      </c>
      <c r="F30" s="24" t="s">
        <v>1238</v>
      </c>
      <c r="G30" s="24" t="s">
        <v>1230</v>
      </c>
      <c r="H30" s="24" t="s">
        <v>1133</v>
      </c>
    </row>
    <row r="31" spans="1:8" ht="60" x14ac:dyDescent="0.25">
      <c r="A31" s="24" t="s">
        <v>1239</v>
      </c>
      <c r="B31" s="24" t="s">
        <v>1240</v>
      </c>
      <c r="C31" s="24" t="s">
        <v>473</v>
      </c>
      <c r="D31" s="24" t="s">
        <v>1240</v>
      </c>
      <c r="E31" s="24" t="s">
        <v>1241</v>
      </c>
      <c r="F31" s="24" t="s">
        <v>1242</v>
      </c>
      <c r="G31" s="24" t="s">
        <v>1230</v>
      </c>
      <c r="H31" s="24" t="s">
        <v>1133</v>
      </c>
    </row>
    <row r="32" spans="1:8" ht="60" x14ac:dyDescent="0.25">
      <c r="A32" s="24" t="s">
        <v>1243</v>
      </c>
      <c r="B32" s="24" t="s">
        <v>1244</v>
      </c>
      <c r="C32" s="24" t="s">
        <v>473</v>
      </c>
      <c r="D32" s="24" t="s">
        <v>1244</v>
      </c>
      <c r="E32" s="24" t="s">
        <v>1245</v>
      </c>
      <c r="F32" s="24" t="s">
        <v>1246</v>
      </c>
      <c r="G32" s="24" t="s">
        <v>1230</v>
      </c>
      <c r="H32" s="24" t="s">
        <v>1133</v>
      </c>
    </row>
    <row r="33" spans="1:8" ht="45" x14ac:dyDescent="0.25">
      <c r="A33" s="24" t="s">
        <v>1247</v>
      </c>
      <c r="B33" s="24" t="s">
        <v>1248</v>
      </c>
      <c r="C33" s="24" t="s">
        <v>473</v>
      </c>
      <c r="D33" s="24" t="s">
        <v>1248</v>
      </c>
      <c r="E33" s="24" t="s">
        <v>1249</v>
      </c>
      <c r="F33" s="24" t="s">
        <v>1250</v>
      </c>
      <c r="G33" s="24" t="s">
        <v>1230</v>
      </c>
      <c r="H33" s="24" t="s">
        <v>1133</v>
      </c>
    </row>
    <row r="34" spans="1:8" ht="45" x14ac:dyDescent="0.25">
      <c r="A34" s="24" t="s">
        <v>1251</v>
      </c>
      <c r="B34" s="24" t="s">
        <v>165</v>
      </c>
      <c r="C34" s="24" t="s">
        <v>107</v>
      </c>
      <c r="D34" s="24" t="s">
        <v>166</v>
      </c>
      <c r="E34" s="24" t="s">
        <v>1252</v>
      </c>
      <c r="F34" s="24" t="s">
        <v>1253</v>
      </c>
      <c r="G34" s="24" t="s">
        <v>1192</v>
      </c>
      <c r="H34" s="24" t="s">
        <v>167</v>
      </c>
    </row>
    <row r="35" spans="1:8" ht="45" x14ac:dyDescent="0.25">
      <c r="A35" s="24" t="s">
        <v>1254</v>
      </c>
      <c r="B35" s="24" t="s">
        <v>152</v>
      </c>
      <c r="C35" s="24" t="s">
        <v>107</v>
      </c>
      <c r="D35" s="24" t="s">
        <v>153</v>
      </c>
      <c r="E35" s="24" t="s">
        <v>1255</v>
      </c>
      <c r="F35" s="24" t="s">
        <v>1256</v>
      </c>
      <c r="G35" s="24" t="s">
        <v>1192</v>
      </c>
      <c r="H35" s="24" t="s">
        <v>155</v>
      </c>
    </row>
    <row r="36" spans="1:8" ht="45" x14ac:dyDescent="0.25">
      <c r="A36" s="24" t="s">
        <v>1257</v>
      </c>
      <c r="B36" s="24" t="s">
        <v>156</v>
      </c>
      <c r="C36" s="24" t="s">
        <v>107</v>
      </c>
      <c r="D36" s="24" t="s">
        <v>157</v>
      </c>
      <c r="E36" s="24" t="s">
        <v>1258</v>
      </c>
      <c r="F36" s="24" t="s">
        <v>1259</v>
      </c>
      <c r="G36" s="24" t="s">
        <v>1192</v>
      </c>
      <c r="H36" s="24" t="s">
        <v>158</v>
      </c>
    </row>
    <row r="37" spans="1:8" ht="45" x14ac:dyDescent="0.25">
      <c r="A37" s="24" t="s">
        <v>1260</v>
      </c>
      <c r="B37" s="24" t="s">
        <v>162</v>
      </c>
      <c r="C37" s="24" t="s">
        <v>107</v>
      </c>
      <c r="D37" s="24" t="s">
        <v>163</v>
      </c>
      <c r="E37" s="24" t="s">
        <v>1261</v>
      </c>
      <c r="F37" s="24" t="s">
        <v>1262</v>
      </c>
      <c r="G37" s="24" t="s">
        <v>1192</v>
      </c>
      <c r="H37" s="24" t="s">
        <v>164</v>
      </c>
    </row>
    <row r="38" spans="1:8" ht="45" x14ac:dyDescent="0.25">
      <c r="A38" s="24" t="s">
        <v>1263</v>
      </c>
      <c r="B38" s="24" t="s">
        <v>159</v>
      </c>
      <c r="C38" s="24" t="s">
        <v>107</v>
      </c>
      <c r="D38" s="24" t="s">
        <v>160</v>
      </c>
      <c r="E38" s="24" t="s">
        <v>1264</v>
      </c>
      <c r="F38" s="24" t="s">
        <v>1265</v>
      </c>
      <c r="G38" s="24" t="s">
        <v>1192</v>
      </c>
      <c r="H38" s="24" t="s">
        <v>161</v>
      </c>
    </row>
    <row r="39" spans="1:8" ht="45" x14ac:dyDescent="0.25">
      <c r="A39" s="24" t="s">
        <v>1266</v>
      </c>
      <c r="B39" s="24" t="s">
        <v>168</v>
      </c>
      <c r="C39" s="24" t="s">
        <v>107</v>
      </c>
      <c r="D39" s="24" t="s">
        <v>169</v>
      </c>
      <c r="E39" s="24" t="s">
        <v>1267</v>
      </c>
      <c r="F39" s="24" t="s">
        <v>1268</v>
      </c>
      <c r="G39" s="24" t="s">
        <v>1192</v>
      </c>
      <c r="H39" s="24" t="s">
        <v>170</v>
      </c>
    </row>
    <row r="40" spans="1:8" ht="45" x14ac:dyDescent="0.25">
      <c r="A40" s="24" t="s">
        <v>1269</v>
      </c>
      <c r="B40" s="24" t="s">
        <v>142</v>
      </c>
      <c r="C40" s="24" t="s">
        <v>127</v>
      </c>
      <c r="D40" s="24" t="s">
        <v>143</v>
      </c>
      <c r="E40" s="24" t="s">
        <v>1270</v>
      </c>
      <c r="F40" s="24" t="s">
        <v>1271</v>
      </c>
      <c r="G40" s="24" t="s">
        <v>1192</v>
      </c>
      <c r="H40" s="24" t="s">
        <v>145</v>
      </c>
    </row>
    <row r="41" spans="1:8" ht="45" x14ac:dyDescent="0.25">
      <c r="A41" s="24" t="s">
        <v>1272</v>
      </c>
      <c r="B41" s="24" t="s">
        <v>146</v>
      </c>
      <c r="C41" s="24" t="s">
        <v>127</v>
      </c>
      <c r="D41" s="24" t="s">
        <v>147</v>
      </c>
      <c r="E41" s="24" t="s">
        <v>1273</v>
      </c>
      <c r="F41" s="24" t="s">
        <v>1274</v>
      </c>
      <c r="G41" s="24" t="s">
        <v>1192</v>
      </c>
      <c r="H41" s="24" t="s">
        <v>148</v>
      </c>
    </row>
    <row r="42" spans="1:8" ht="45" x14ac:dyDescent="0.25">
      <c r="A42" s="24" t="s">
        <v>1275</v>
      </c>
      <c r="B42" s="24" t="s">
        <v>132</v>
      </c>
      <c r="C42" s="24" t="s">
        <v>127</v>
      </c>
      <c r="D42" s="24" t="s">
        <v>133</v>
      </c>
      <c r="E42" s="24" t="s">
        <v>1276</v>
      </c>
      <c r="F42" s="24" t="s">
        <v>1277</v>
      </c>
      <c r="G42" s="24" t="s">
        <v>1192</v>
      </c>
      <c r="H42" s="24" t="s">
        <v>135</v>
      </c>
    </row>
    <row r="43" spans="1:8" ht="45" x14ac:dyDescent="0.25">
      <c r="A43" s="24" t="s">
        <v>1278</v>
      </c>
      <c r="B43" s="24" t="s">
        <v>139</v>
      </c>
      <c r="C43" s="24" t="s">
        <v>127</v>
      </c>
      <c r="D43" s="24" t="s">
        <v>140</v>
      </c>
      <c r="E43" s="24" t="s">
        <v>1279</v>
      </c>
      <c r="F43" s="24" t="s">
        <v>1280</v>
      </c>
      <c r="G43" s="24" t="s">
        <v>1192</v>
      </c>
      <c r="H43" s="24" t="s">
        <v>141</v>
      </c>
    </row>
    <row r="44" spans="1:8" ht="60" x14ac:dyDescent="0.25">
      <c r="A44" s="24" t="s">
        <v>1281</v>
      </c>
      <c r="B44" s="24" t="s">
        <v>136</v>
      </c>
      <c r="C44" s="24" t="s">
        <v>127</v>
      </c>
      <c r="D44" s="24" t="s">
        <v>1282</v>
      </c>
      <c r="E44" s="24" t="s">
        <v>1283</v>
      </c>
      <c r="F44" s="24" t="s">
        <v>1284</v>
      </c>
      <c r="G44" s="24" t="s">
        <v>1285</v>
      </c>
      <c r="H44" s="24" t="s">
        <v>1286</v>
      </c>
    </row>
    <row r="45" spans="1:8" ht="45" x14ac:dyDescent="0.25">
      <c r="A45" s="24" t="s">
        <v>1287</v>
      </c>
      <c r="B45" s="24" t="s">
        <v>149</v>
      </c>
      <c r="C45" s="24" t="s">
        <v>127</v>
      </c>
      <c r="D45" s="24" t="s">
        <v>150</v>
      </c>
      <c r="E45" s="24" t="s">
        <v>1288</v>
      </c>
      <c r="F45" s="24" t="s">
        <v>1289</v>
      </c>
      <c r="G45" s="24" t="s">
        <v>1192</v>
      </c>
      <c r="H45" s="24" t="s">
        <v>151</v>
      </c>
    </row>
    <row r="46" spans="1:8" ht="45" x14ac:dyDescent="0.25">
      <c r="A46" s="24" t="s">
        <v>1290</v>
      </c>
      <c r="B46" s="24" t="s">
        <v>1291</v>
      </c>
      <c r="C46" s="24" t="s">
        <v>486</v>
      </c>
      <c r="D46" s="24" t="s">
        <v>1291</v>
      </c>
      <c r="E46" s="24" t="s">
        <v>1292</v>
      </c>
      <c r="F46" s="24" t="s">
        <v>1293</v>
      </c>
      <c r="G46" s="24" t="s">
        <v>1294</v>
      </c>
      <c r="H46" s="24" t="s">
        <v>1133</v>
      </c>
    </row>
    <row r="47" spans="1:8" ht="60" x14ac:dyDescent="0.25">
      <c r="A47" s="24" t="s">
        <v>1295</v>
      </c>
      <c r="B47" s="24" t="s">
        <v>1296</v>
      </c>
      <c r="C47" s="24" t="s">
        <v>486</v>
      </c>
      <c r="D47" s="24" t="s">
        <v>1296</v>
      </c>
      <c r="E47" s="24" t="s">
        <v>1297</v>
      </c>
      <c r="F47" s="24" t="s">
        <v>1298</v>
      </c>
      <c r="G47" s="24" t="s">
        <v>1294</v>
      </c>
      <c r="H47" s="24" t="s">
        <v>1133</v>
      </c>
    </row>
    <row r="48" spans="1:8" ht="60" x14ac:dyDescent="0.25">
      <c r="A48" s="24" t="s">
        <v>1299</v>
      </c>
      <c r="B48" s="24" t="s">
        <v>1300</v>
      </c>
      <c r="C48" s="24" t="s">
        <v>486</v>
      </c>
      <c r="D48" s="24" t="s">
        <v>1300</v>
      </c>
      <c r="E48" s="24" t="s">
        <v>1301</v>
      </c>
      <c r="F48" s="24" t="s">
        <v>1302</v>
      </c>
      <c r="G48" s="24" t="s">
        <v>1303</v>
      </c>
      <c r="H48" s="24" t="s">
        <v>1133</v>
      </c>
    </row>
    <row r="49" spans="1:8" ht="60" x14ac:dyDescent="0.25">
      <c r="A49" s="24" t="s">
        <v>1304</v>
      </c>
      <c r="B49" s="24" t="s">
        <v>1305</v>
      </c>
      <c r="C49" s="24" t="s">
        <v>486</v>
      </c>
      <c r="D49" s="24" t="s">
        <v>1305</v>
      </c>
      <c r="E49" s="24" t="s">
        <v>1306</v>
      </c>
      <c r="F49" s="24" t="s">
        <v>1307</v>
      </c>
      <c r="G49" s="24" t="s">
        <v>1294</v>
      </c>
      <c r="H49" s="24" t="s">
        <v>1133</v>
      </c>
    </row>
    <row r="50" spans="1:8" ht="60" x14ac:dyDescent="0.25">
      <c r="A50" s="24" t="s">
        <v>1308</v>
      </c>
      <c r="B50" s="24" t="s">
        <v>1309</v>
      </c>
      <c r="C50" s="24" t="s">
        <v>486</v>
      </c>
      <c r="D50" s="24" t="s">
        <v>1309</v>
      </c>
      <c r="E50" s="24" t="s">
        <v>1310</v>
      </c>
      <c r="F50" s="24" t="s">
        <v>1311</v>
      </c>
      <c r="G50" s="24" t="s">
        <v>1303</v>
      </c>
      <c r="H50" s="24" t="s">
        <v>1133</v>
      </c>
    </row>
    <row r="51" spans="1:8" ht="60" x14ac:dyDescent="0.25">
      <c r="A51" s="24" t="s">
        <v>1312</v>
      </c>
      <c r="B51" s="24" t="s">
        <v>1313</v>
      </c>
      <c r="C51" s="24" t="s">
        <v>486</v>
      </c>
      <c r="D51" s="24" t="s">
        <v>1313</v>
      </c>
      <c r="E51" s="24" t="s">
        <v>1314</v>
      </c>
      <c r="F51" s="24" t="s">
        <v>1315</v>
      </c>
      <c r="G51" s="24" t="s">
        <v>1294</v>
      </c>
      <c r="H51" s="24" t="s">
        <v>1133</v>
      </c>
    </row>
    <row r="52" spans="1:8" ht="60" x14ac:dyDescent="0.25">
      <c r="A52" s="24" t="s">
        <v>1316</v>
      </c>
      <c r="B52" s="24" t="s">
        <v>1317</v>
      </c>
      <c r="C52" s="24" t="s">
        <v>486</v>
      </c>
      <c r="D52" s="24" t="s">
        <v>1317</v>
      </c>
      <c r="E52" s="24" t="s">
        <v>1318</v>
      </c>
      <c r="F52" s="24" t="s">
        <v>1319</v>
      </c>
      <c r="G52" s="24" t="s">
        <v>1303</v>
      </c>
      <c r="H52" s="24" t="s">
        <v>1133</v>
      </c>
    </row>
    <row r="53" spans="1:8" ht="60" x14ac:dyDescent="0.25">
      <c r="A53" s="24" t="s">
        <v>1320</v>
      </c>
      <c r="B53" s="24" t="s">
        <v>1321</v>
      </c>
      <c r="C53" s="24" t="s">
        <v>486</v>
      </c>
      <c r="D53" s="24" t="s">
        <v>1321</v>
      </c>
      <c r="E53" s="24" t="s">
        <v>1322</v>
      </c>
      <c r="F53" s="24" t="s">
        <v>1323</v>
      </c>
      <c r="G53" s="24" t="s">
        <v>1303</v>
      </c>
      <c r="H53" s="24" t="s">
        <v>1133</v>
      </c>
    </row>
    <row r="54" spans="1:8" ht="45" x14ac:dyDescent="0.25">
      <c r="A54" s="24" t="s">
        <v>1324</v>
      </c>
      <c r="B54" s="24" t="s">
        <v>1325</v>
      </c>
      <c r="C54" s="24" t="s">
        <v>486</v>
      </c>
      <c r="D54" s="24" t="s">
        <v>1325</v>
      </c>
      <c r="E54" s="24" t="s">
        <v>1326</v>
      </c>
      <c r="F54" s="24" t="s">
        <v>1327</v>
      </c>
      <c r="G54" s="24" t="s">
        <v>1303</v>
      </c>
      <c r="H54" s="24" t="s">
        <v>1133</v>
      </c>
    </row>
    <row r="55" spans="1:8" ht="60" x14ac:dyDescent="0.25">
      <c r="A55" s="24" t="s">
        <v>1328</v>
      </c>
      <c r="B55" s="24" t="s">
        <v>1329</v>
      </c>
      <c r="C55" s="24" t="s">
        <v>486</v>
      </c>
      <c r="D55" s="24" t="s">
        <v>1329</v>
      </c>
      <c r="E55" s="24" t="s">
        <v>1330</v>
      </c>
      <c r="F55" s="24" t="s">
        <v>1331</v>
      </c>
      <c r="G55" s="24" t="s">
        <v>1303</v>
      </c>
      <c r="H55" s="24" t="s">
        <v>1133</v>
      </c>
    </row>
    <row r="56" spans="1:8" ht="45" x14ac:dyDescent="0.25">
      <c r="A56" s="24" t="s">
        <v>1332</v>
      </c>
      <c r="B56" s="24" t="s">
        <v>1333</v>
      </c>
      <c r="C56" s="24" t="s">
        <v>486</v>
      </c>
      <c r="D56" s="24" t="s">
        <v>1334</v>
      </c>
      <c r="E56" s="24" t="s">
        <v>1335</v>
      </c>
      <c r="F56" s="24" t="s">
        <v>1336</v>
      </c>
      <c r="G56" s="24" t="s">
        <v>1294</v>
      </c>
      <c r="H56" s="24" t="s">
        <v>1133</v>
      </c>
    </row>
    <row r="57" spans="1:8" ht="60" x14ac:dyDescent="0.25">
      <c r="A57" s="24" t="s">
        <v>1337</v>
      </c>
      <c r="B57" s="24" t="s">
        <v>1338</v>
      </c>
      <c r="C57" s="24" t="s">
        <v>486</v>
      </c>
      <c r="D57" s="24" t="s">
        <v>1338</v>
      </c>
      <c r="E57" s="24" t="s">
        <v>1339</v>
      </c>
      <c r="F57" s="24" t="s">
        <v>1340</v>
      </c>
      <c r="G57" s="24" t="s">
        <v>1303</v>
      </c>
      <c r="H57" s="24" t="s">
        <v>1133</v>
      </c>
    </row>
    <row r="58" spans="1:8" ht="45" x14ac:dyDescent="0.25">
      <c r="A58" s="24" t="s">
        <v>1341</v>
      </c>
      <c r="B58" s="24" t="s">
        <v>1342</v>
      </c>
      <c r="C58" s="24" t="s">
        <v>486</v>
      </c>
      <c r="D58" s="24" t="s">
        <v>1342</v>
      </c>
      <c r="E58" s="24" t="s">
        <v>1343</v>
      </c>
      <c r="F58" s="24" t="s">
        <v>1344</v>
      </c>
      <c r="G58" s="24" t="s">
        <v>1294</v>
      </c>
      <c r="H58" s="24" t="s">
        <v>1133</v>
      </c>
    </row>
    <row r="59" spans="1:8" ht="60" x14ac:dyDescent="0.25">
      <c r="A59" s="24" t="s">
        <v>1345</v>
      </c>
      <c r="B59" s="24" t="s">
        <v>1346</v>
      </c>
      <c r="C59" s="24" t="s">
        <v>486</v>
      </c>
      <c r="D59" s="24" t="s">
        <v>1346</v>
      </c>
      <c r="E59" s="24" t="s">
        <v>1347</v>
      </c>
      <c r="F59" s="24" t="s">
        <v>1348</v>
      </c>
      <c r="G59" s="24" t="s">
        <v>1294</v>
      </c>
      <c r="H59" s="24" t="s">
        <v>1133</v>
      </c>
    </row>
    <row r="60" spans="1:8" ht="45" x14ac:dyDescent="0.25">
      <c r="A60" s="24" t="s">
        <v>1349</v>
      </c>
      <c r="B60" s="24" t="s">
        <v>1350</v>
      </c>
      <c r="C60" s="24" t="s">
        <v>486</v>
      </c>
      <c r="D60" s="24" t="s">
        <v>1351</v>
      </c>
      <c r="E60" s="24" t="s">
        <v>1352</v>
      </c>
      <c r="F60" s="24" t="s">
        <v>1353</v>
      </c>
      <c r="G60" s="24" t="s">
        <v>1303</v>
      </c>
      <c r="H60" s="24" t="s">
        <v>1133</v>
      </c>
    </row>
    <row r="61" spans="1:8" ht="45" x14ac:dyDescent="0.25">
      <c r="A61" s="24" t="s">
        <v>1354</v>
      </c>
      <c r="B61" s="24" t="s">
        <v>1355</v>
      </c>
      <c r="C61" s="24" t="s">
        <v>423</v>
      </c>
      <c r="D61" s="24" t="s">
        <v>1355</v>
      </c>
      <c r="E61" s="24" t="s">
        <v>1356</v>
      </c>
      <c r="F61" s="24" t="s">
        <v>1357</v>
      </c>
      <c r="G61" s="24" t="s">
        <v>1358</v>
      </c>
      <c r="H61" s="24" t="s">
        <v>1133</v>
      </c>
    </row>
    <row r="62" spans="1:8" ht="45" x14ac:dyDescent="0.25">
      <c r="A62" s="24" t="s">
        <v>1359</v>
      </c>
      <c r="B62" s="24" t="s">
        <v>1360</v>
      </c>
      <c r="C62" s="24" t="s">
        <v>423</v>
      </c>
      <c r="D62" s="24" t="s">
        <v>1361</v>
      </c>
      <c r="E62" s="24" t="s">
        <v>1362</v>
      </c>
      <c r="F62" s="24" t="s">
        <v>1363</v>
      </c>
      <c r="G62" s="24" t="s">
        <v>1364</v>
      </c>
      <c r="H62" s="24" t="s">
        <v>1133</v>
      </c>
    </row>
    <row r="63" spans="1:8" ht="60" x14ac:dyDescent="0.25">
      <c r="A63" s="24" t="s">
        <v>1365</v>
      </c>
      <c r="B63" s="24" t="s">
        <v>1366</v>
      </c>
      <c r="C63" s="24" t="s">
        <v>423</v>
      </c>
      <c r="D63" s="24" t="s">
        <v>1367</v>
      </c>
      <c r="E63" s="24" t="s">
        <v>1368</v>
      </c>
      <c r="F63" s="24" t="s">
        <v>1369</v>
      </c>
      <c r="G63" s="24" t="s">
        <v>1358</v>
      </c>
      <c r="H63" s="24" t="s">
        <v>1133</v>
      </c>
    </row>
    <row r="64" spans="1:8" ht="45" x14ac:dyDescent="0.25">
      <c r="A64" s="24" t="s">
        <v>1370</v>
      </c>
      <c r="B64" s="24" t="s">
        <v>1371</v>
      </c>
      <c r="C64" s="24" t="s">
        <v>423</v>
      </c>
      <c r="D64" s="24" t="s">
        <v>1371</v>
      </c>
      <c r="E64" s="24" t="s">
        <v>1372</v>
      </c>
      <c r="F64" s="24" t="s">
        <v>1373</v>
      </c>
      <c r="G64" s="24" t="s">
        <v>1374</v>
      </c>
      <c r="H64" s="24" t="s">
        <v>1133</v>
      </c>
    </row>
    <row r="65" spans="1:8" ht="60" x14ac:dyDescent="0.25">
      <c r="A65" s="24" t="s">
        <v>1375</v>
      </c>
      <c r="B65" s="24" t="s">
        <v>1376</v>
      </c>
      <c r="C65" s="24" t="s">
        <v>423</v>
      </c>
      <c r="D65" s="24" t="s">
        <v>1376</v>
      </c>
      <c r="E65" s="24" t="s">
        <v>1377</v>
      </c>
      <c r="F65" s="24" t="s">
        <v>1378</v>
      </c>
      <c r="G65" s="24" t="s">
        <v>1358</v>
      </c>
      <c r="H65" s="24" t="s">
        <v>1133</v>
      </c>
    </row>
    <row r="66" spans="1:8" ht="60" x14ac:dyDescent="0.25">
      <c r="A66" s="24" t="s">
        <v>1379</v>
      </c>
      <c r="B66" s="24" t="s">
        <v>1380</v>
      </c>
      <c r="C66" s="24" t="s">
        <v>423</v>
      </c>
      <c r="D66" s="24" t="s">
        <v>1380</v>
      </c>
      <c r="E66" s="24" t="s">
        <v>1381</v>
      </c>
      <c r="F66" s="24" t="s">
        <v>1382</v>
      </c>
      <c r="G66" s="24" t="s">
        <v>1358</v>
      </c>
      <c r="H66" s="24" t="s">
        <v>1133</v>
      </c>
    </row>
    <row r="67" spans="1:8" ht="60" x14ac:dyDescent="0.25">
      <c r="A67" s="24" t="s">
        <v>1383</v>
      </c>
      <c r="B67" s="24" t="s">
        <v>1384</v>
      </c>
      <c r="C67" s="24" t="s">
        <v>423</v>
      </c>
      <c r="D67" s="24" t="s">
        <v>1384</v>
      </c>
      <c r="E67" s="24" t="s">
        <v>1385</v>
      </c>
      <c r="F67" s="24" t="s">
        <v>1386</v>
      </c>
      <c r="G67" s="24" t="s">
        <v>1358</v>
      </c>
      <c r="H67" s="24" t="s">
        <v>1133</v>
      </c>
    </row>
    <row r="68" spans="1:8" ht="60" x14ac:dyDescent="0.25">
      <c r="A68" s="24" t="s">
        <v>1387</v>
      </c>
      <c r="B68" s="24" t="s">
        <v>1388</v>
      </c>
      <c r="C68" s="24" t="s">
        <v>460</v>
      </c>
      <c r="D68" s="24" t="s">
        <v>1388</v>
      </c>
      <c r="E68" s="24" t="s">
        <v>1389</v>
      </c>
      <c r="F68" s="24" t="s">
        <v>1390</v>
      </c>
      <c r="G68" s="24" t="s">
        <v>1391</v>
      </c>
      <c r="H68" s="24" t="s">
        <v>1133</v>
      </c>
    </row>
    <row r="69" spans="1:8" ht="60" x14ac:dyDescent="0.25">
      <c r="A69" s="24" t="s">
        <v>1392</v>
      </c>
      <c r="B69" s="24" t="s">
        <v>1393</v>
      </c>
      <c r="C69" s="24" t="s">
        <v>460</v>
      </c>
      <c r="D69" s="24" t="s">
        <v>1393</v>
      </c>
      <c r="E69" s="24" t="s">
        <v>1394</v>
      </c>
      <c r="F69" s="24" t="s">
        <v>1395</v>
      </c>
      <c r="G69" s="24" t="s">
        <v>1391</v>
      </c>
      <c r="H69" s="24" t="s">
        <v>1133</v>
      </c>
    </row>
    <row r="70" spans="1:8" ht="60" x14ac:dyDescent="0.25">
      <c r="A70" s="24" t="s">
        <v>1396</v>
      </c>
      <c r="B70" s="24" t="s">
        <v>1397</v>
      </c>
      <c r="C70" s="24" t="s">
        <v>460</v>
      </c>
      <c r="D70" s="24" t="s">
        <v>1397</v>
      </c>
      <c r="E70" s="24" t="s">
        <v>1398</v>
      </c>
      <c r="F70" s="24" t="s">
        <v>1399</v>
      </c>
      <c r="G70" s="24" t="s">
        <v>1391</v>
      </c>
      <c r="H70" s="24" t="s">
        <v>1133</v>
      </c>
    </row>
    <row r="71" spans="1:8" ht="60" x14ac:dyDescent="0.25">
      <c r="A71" s="24" t="s">
        <v>1400</v>
      </c>
      <c r="B71" s="24" t="s">
        <v>1401</v>
      </c>
      <c r="C71" s="24" t="s">
        <v>460</v>
      </c>
      <c r="D71" s="24" t="s">
        <v>1402</v>
      </c>
      <c r="E71" s="24" t="s">
        <v>1403</v>
      </c>
      <c r="F71" s="24" t="s">
        <v>1404</v>
      </c>
      <c r="G71" s="24" t="s">
        <v>1391</v>
      </c>
      <c r="H71" s="24" t="s">
        <v>1133</v>
      </c>
    </row>
    <row r="72" spans="1:8" ht="60" x14ac:dyDescent="0.25">
      <c r="A72" s="24" t="s">
        <v>1405</v>
      </c>
      <c r="B72" s="24" t="s">
        <v>1406</v>
      </c>
      <c r="C72" s="24" t="s">
        <v>460</v>
      </c>
      <c r="D72" s="24" t="s">
        <v>1406</v>
      </c>
      <c r="E72" s="24" t="s">
        <v>1407</v>
      </c>
      <c r="F72" s="24" t="s">
        <v>1408</v>
      </c>
      <c r="G72" s="24" t="s">
        <v>1391</v>
      </c>
      <c r="H72" s="24" t="s">
        <v>1133</v>
      </c>
    </row>
    <row r="73" spans="1:8" ht="60" x14ac:dyDescent="0.25">
      <c r="A73" s="24" t="s">
        <v>1409</v>
      </c>
      <c r="B73" s="24" t="s">
        <v>1410</v>
      </c>
      <c r="C73" s="24" t="s">
        <v>460</v>
      </c>
      <c r="D73" s="24" t="s">
        <v>1410</v>
      </c>
      <c r="E73" s="24" t="s">
        <v>1411</v>
      </c>
      <c r="F73" s="24" t="s">
        <v>1412</v>
      </c>
      <c r="G73" s="24" t="s">
        <v>1391</v>
      </c>
      <c r="H73" s="24" t="s">
        <v>1133</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79718-012A-4ED7-966C-73FBF630CF74}">
  <sheetPr>
    <tabColor rgb="FF0E7490"/>
  </sheetPr>
  <dimension ref="A1:F25"/>
  <sheetViews>
    <sheetView workbookViewId="0">
      <selection sqref="A1:M1"/>
    </sheetView>
  </sheetViews>
  <sheetFormatPr defaultRowHeight="15" x14ac:dyDescent="0.25"/>
  <cols>
    <col min="1" max="1" width="17.85546875" bestFit="1" customWidth="1"/>
    <col min="2" max="2" width="23.28515625" bestFit="1" customWidth="1"/>
    <col min="3" max="3" width="33.5703125" bestFit="1" customWidth="1"/>
    <col min="4" max="4" width="31.28515625" bestFit="1" customWidth="1"/>
    <col min="5" max="5" width="9.28515625" bestFit="1" customWidth="1"/>
    <col min="6" max="6" width="37.42578125" bestFit="1" customWidth="1"/>
  </cols>
  <sheetData>
    <row r="1" spans="1:6" x14ac:dyDescent="0.25">
      <c r="A1" s="3" t="s">
        <v>381</v>
      </c>
      <c r="B1" s="3" t="s">
        <v>385</v>
      </c>
      <c r="C1" s="3" t="s">
        <v>386</v>
      </c>
      <c r="D1" s="3" t="s">
        <v>387</v>
      </c>
      <c r="E1" s="3" t="s">
        <v>388</v>
      </c>
      <c r="F1" s="3" t="s">
        <v>389</v>
      </c>
    </row>
    <row r="2" spans="1:6" ht="27" x14ac:dyDescent="0.25">
      <c r="A2" s="3" t="s">
        <v>127</v>
      </c>
      <c r="B2" s="3" t="s">
        <v>132</v>
      </c>
      <c r="C2" s="3" t="s">
        <v>133</v>
      </c>
      <c r="D2" s="3" t="s">
        <v>128</v>
      </c>
      <c r="E2" s="3" t="s">
        <v>134</v>
      </c>
      <c r="F2" s="3" t="s">
        <v>135</v>
      </c>
    </row>
    <row r="3" spans="1:6" ht="27" x14ac:dyDescent="0.25">
      <c r="A3" s="3" t="s">
        <v>127</v>
      </c>
      <c r="B3" s="3" t="s">
        <v>136</v>
      </c>
      <c r="C3" s="3" t="s">
        <v>137</v>
      </c>
      <c r="D3" s="3" t="s">
        <v>128</v>
      </c>
      <c r="E3" s="3" t="s">
        <v>134</v>
      </c>
      <c r="F3" s="3" t="s">
        <v>138</v>
      </c>
    </row>
    <row r="4" spans="1:6" ht="27" x14ac:dyDescent="0.25">
      <c r="A4" s="3" t="s">
        <v>127</v>
      </c>
      <c r="B4" s="3" t="s">
        <v>139</v>
      </c>
      <c r="C4" s="3" t="s">
        <v>140</v>
      </c>
      <c r="D4" s="3" t="s">
        <v>128</v>
      </c>
      <c r="E4" s="3" t="s">
        <v>134</v>
      </c>
      <c r="F4" s="3" t="s">
        <v>141</v>
      </c>
    </row>
    <row r="5" spans="1:6" x14ac:dyDescent="0.25">
      <c r="A5" s="3" t="s">
        <v>127</v>
      </c>
      <c r="B5" s="3" t="s">
        <v>142</v>
      </c>
      <c r="C5" s="3" t="s">
        <v>143</v>
      </c>
      <c r="D5" s="3" t="s">
        <v>128</v>
      </c>
      <c r="E5" s="3" t="s">
        <v>144</v>
      </c>
      <c r="F5" s="3" t="s">
        <v>145</v>
      </c>
    </row>
    <row r="6" spans="1:6" ht="27" x14ac:dyDescent="0.25">
      <c r="A6" s="3" t="s">
        <v>127</v>
      </c>
      <c r="B6" s="3" t="s">
        <v>146</v>
      </c>
      <c r="C6" s="3" t="s">
        <v>147</v>
      </c>
      <c r="D6" s="3" t="s">
        <v>128</v>
      </c>
      <c r="E6" s="3" t="s">
        <v>134</v>
      </c>
      <c r="F6" s="3" t="s">
        <v>148</v>
      </c>
    </row>
    <row r="7" spans="1:6" x14ac:dyDescent="0.25">
      <c r="A7" s="3" t="s">
        <v>127</v>
      </c>
      <c r="B7" s="3" t="s">
        <v>149</v>
      </c>
      <c r="C7" s="3" t="s">
        <v>150</v>
      </c>
      <c r="D7" s="3" t="s">
        <v>128</v>
      </c>
      <c r="E7" s="3" t="s">
        <v>134</v>
      </c>
      <c r="F7" s="3" t="s">
        <v>151</v>
      </c>
    </row>
    <row r="8" spans="1:6" x14ac:dyDescent="0.25">
      <c r="A8" s="3" t="s">
        <v>107</v>
      </c>
      <c r="B8" s="3" t="s">
        <v>152</v>
      </c>
      <c r="C8" s="3" t="s">
        <v>153</v>
      </c>
      <c r="D8" s="3" t="s">
        <v>154</v>
      </c>
      <c r="E8" s="3" t="s">
        <v>134</v>
      </c>
      <c r="F8" s="3" t="s">
        <v>155</v>
      </c>
    </row>
    <row r="9" spans="1:6" x14ac:dyDescent="0.25">
      <c r="A9" s="3" t="s">
        <v>107</v>
      </c>
      <c r="B9" s="3" t="s">
        <v>156</v>
      </c>
      <c r="C9" s="3" t="s">
        <v>157</v>
      </c>
      <c r="D9" s="3" t="s">
        <v>154</v>
      </c>
      <c r="E9" s="3" t="s">
        <v>134</v>
      </c>
      <c r="F9" s="3" t="s">
        <v>158</v>
      </c>
    </row>
    <row r="10" spans="1:6" x14ac:dyDescent="0.25">
      <c r="A10" s="3" t="s">
        <v>107</v>
      </c>
      <c r="B10" s="3" t="s">
        <v>159</v>
      </c>
      <c r="C10" s="3" t="s">
        <v>160</v>
      </c>
      <c r="D10" s="3" t="s">
        <v>154</v>
      </c>
      <c r="E10" s="3" t="s">
        <v>134</v>
      </c>
      <c r="F10" s="3" t="s">
        <v>161</v>
      </c>
    </row>
    <row r="11" spans="1:6" x14ac:dyDescent="0.25">
      <c r="A11" s="3" t="s">
        <v>107</v>
      </c>
      <c r="B11" s="3" t="s">
        <v>162</v>
      </c>
      <c r="C11" s="3" t="s">
        <v>163</v>
      </c>
      <c r="D11" s="3" t="s">
        <v>154</v>
      </c>
      <c r="E11" s="3" t="s">
        <v>144</v>
      </c>
      <c r="F11" s="3" t="s">
        <v>164</v>
      </c>
    </row>
    <row r="12" spans="1:6" ht="27" x14ac:dyDescent="0.25">
      <c r="A12" s="3" t="s">
        <v>107</v>
      </c>
      <c r="B12" s="3" t="s">
        <v>165</v>
      </c>
      <c r="C12" s="3" t="s">
        <v>166</v>
      </c>
      <c r="D12" s="3" t="s">
        <v>154</v>
      </c>
      <c r="E12" s="3" t="s">
        <v>134</v>
      </c>
      <c r="F12" s="3" t="s">
        <v>167</v>
      </c>
    </row>
    <row r="13" spans="1:6" ht="27" x14ac:dyDescent="0.25">
      <c r="A13" s="3" t="s">
        <v>107</v>
      </c>
      <c r="B13" s="3" t="s">
        <v>168</v>
      </c>
      <c r="C13" s="3" t="s">
        <v>169</v>
      </c>
      <c r="D13" s="3" t="s">
        <v>154</v>
      </c>
      <c r="E13" s="3" t="s">
        <v>134</v>
      </c>
      <c r="F13" s="3" t="s">
        <v>170</v>
      </c>
    </row>
    <row r="14" spans="1:6" ht="27" x14ac:dyDescent="0.25">
      <c r="A14" s="3" t="s">
        <v>171</v>
      </c>
      <c r="B14" s="3" t="s">
        <v>172</v>
      </c>
      <c r="C14" s="3" t="s">
        <v>173</v>
      </c>
      <c r="D14" s="3" t="s">
        <v>174</v>
      </c>
      <c r="E14" s="3" t="s">
        <v>134</v>
      </c>
      <c r="F14" s="3" t="s">
        <v>175</v>
      </c>
    </row>
    <row r="15" spans="1:6" x14ac:dyDescent="0.25">
      <c r="A15" s="3" t="s">
        <v>171</v>
      </c>
      <c r="B15" s="3" t="s">
        <v>176</v>
      </c>
      <c r="C15" s="3" t="s">
        <v>177</v>
      </c>
      <c r="D15" s="3" t="s">
        <v>174</v>
      </c>
      <c r="E15" s="3" t="s">
        <v>134</v>
      </c>
      <c r="F15" s="3" t="s">
        <v>178</v>
      </c>
    </row>
    <row r="16" spans="1:6" ht="27" x14ac:dyDescent="0.25">
      <c r="A16" s="3" t="s">
        <v>171</v>
      </c>
      <c r="B16" s="3" t="s">
        <v>179</v>
      </c>
      <c r="C16" s="3" t="s">
        <v>180</v>
      </c>
      <c r="D16" s="3" t="s">
        <v>174</v>
      </c>
      <c r="E16" s="3" t="s">
        <v>134</v>
      </c>
      <c r="F16" s="3" t="s">
        <v>181</v>
      </c>
    </row>
    <row r="17" spans="1:6" ht="27" x14ac:dyDescent="0.25">
      <c r="A17" s="3" t="s">
        <v>171</v>
      </c>
      <c r="B17" s="3" t="s">
        <v>182</v>
      </c>
      <c r="C17" s="3" t="s">
        <v>183</v>
      </c>
      <c r="D17" s="3" t="s">
        <v>174</v>
      </c>
      <c r="E17" s="3" t="s">
        <v>134</v>
      </c>
      <c r="F17" s="3" t="s">
        <v>184</v>
      </c>
    </row>
    <row r="18" spans="1:6" x14ac:dyDescent="0.25">
      <c r="A18" s="3" t="s">
        <v>171</v>
      </c>
      <c r="B18" s="3" t="s">
        <v>185</v>
      </c>
      <c r="C18" s="3" t="s">
        <v>186</v>
      </c>
      <c r="D18" s="3" t="s">
        <v>174</v>
      </c>
      <c r="E18" s="3" t="s">
        <v>144</v>
      </c>
      <c r="F18" s="3" t="s">
        <v>187</v>
      </c>
    </row>
    <row r="19" spans="1:6" ht="27" x14ac:dyDescent="0.25">
      <c r="A19" s="3" t="s">
        <v>171</v>
      </c>
      <c r="B19" s="3" t="s">
        <v>188</v>
      </c>
      <c r="C19" s="3" t="s">
        <v>189</v>
      </c>
      <c r="D19" s="3" t="s">
        <v>174</v>
      </c>
      <c r="E19" s="3" t="s">
        <v>144</v>
      </c>
      <c r="F19" s="3" t="s">
        <v>190</v>
      </c>
    </row>
    <row r="20" spans="1:6" ht="27" x14ac:dyDescent="0.25">
      <c r="A20" s="3" t="s">
        <v>124</v>
      </c>
      <c r="B20" s="3" t="s">
        <v>191</v>
      </c>
      <c r="C20" s="3" t="s">
        <v>192</v>
      </c>
      <c r="D20" s="3" t="s">
        <v>125</v>
      </c>
      <c r="E20" s="3" t="s">
        <v>134</v>
      </c>
      <c r="F20" s="3" t="s">
        <v>193</v>
      </c>
    </row>
    <row r="21" spans="1:6" x14ac:dyDescent="0.25">
      <c r="A21" s="3" t="s">
        <v>124</v>
      </c>
      <c r="B21" s="3" t="s">
        <v>194</v>
      </c>
      <c r="C21" s="3" t="s">
        <v>195</v>
      </c>
      <c r="D21" s="3" t="s">
        <v>125</v>
      </c>
      <c r="E21" s="3" t="s">
        <v>134</v>
      </c>
      <c r="F21" s="3" t="s">
        <v>196</v>
      </c>
    </row>
    <row r="22" spans="1:6" ht="27" x14ac:dyDescent="0.25">
      <c r="A22" s="3" t="s">
        <v>124</v>
      </c>
      <c r="B22" s="3" t="s">
        <v>197</v>
      </c>
      <c r="C22" s="3" t="s">
        <v>198</v>
      </c>
      <c r="D22" s="3" t="s">
        <v>125</v>
      </c>
      <c r="E22" s="3" t="s">
        <v>134</v>
      </c>
      <c r="F22" s="3" t="s">
        <v>199</v>
      </c>
    </row>
    <row r="23" spans="1:6" ht="27" x14ac:dyDescent="0.25">
      <c r="A23" s="3" t="s">
        <v>124</v>
      </c>
      <c r="B23" s="3" t="s">
        <v>200</v>
      </c>
      <c r="C23" s="3" t="s">
        <v>201</v>
      </c>
      <c r="D23" s="3" t="s">
        <v>125</v>
      </c>
      <c r="E23" s="3" t="s">
        <v>144</v>
      </c>
      <c r="F23" s="3" t="s">
        <v>202</v>
      </c>
    </row>
    <row r="24" spans="1:6" ht="27" x14ac:dyDescent="0.25">
      <c r="A24" s="3" t="s">
        <v>124</v>
      </c>
      <c r="B24" s="3" t="s">
        <v>203</v>
      </c>
      <c r="C24" s="3" t="s">
        <v>204</v>
      </c>
      <c r="D24" s="3" t="s">
        <v>125</v>
      </c>
      <c r="E24" s="3" t="s">
        <v>144</v>
      </c>
      <c r="F24" s="3" t="s">
        <v>205</v>
      </c>
    </row>
    <row r="25" spans="1:6" ht="27" x14ac:dyDescent="0.25">
      <c r="A25" s="3" t="s">
        <v>124</v>
      </c>
      <c r="B25" s="3" t="s">
        <v>206</v>
      </c>
      <c r="C25" s="3" t="s">
        <v>207</v>
      </c>
      <c r="D25" s="3" t="s">
        <v>125</v>
      </c>
      <c r="E25" s="3" t="s">
        <v>134</v>
      </c>
      <c r="F25" s="3" t="s">
        <v>208</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01E38-BBE9-42E9-87BC-6405098AFDCB}">
  <dimension ref="A1:M8"/>
  <sheetViews>
    <sheetView workbookViewId="0">
      <selection sqref="A1:H1"/>
    </sheetView>
  </sheetViews>
  <sheetFormatPr defaultRowHeight="15" x14ac:dyDescent="0.25"/>
  <cols>
    <col min="1" max="1" width="14.85546875" customWidth="1"/>
    <col min="2" max="4" width="22.85546875" customWidth="1"/>
    <col min="5" max="13" width="41.85546875" style="1" customWidth="1"/>
  </cols>
  <sheetData>
    <row r="1" spans="1:13" ht="32.1" customHeight="1" x14ac:dyDescent="0.25">
      <c r="A1" s="24" t="s">
        <v>408</v>
      </c>
      <c r="B1" s="24" t="s">
        <v>409</v>
      </c>
      <c r="C1" s="24" t="s">
        <v>410</v>
      </c>
      <c r="D1" s="24" t="s">
        <v>411</v>
      </c>
      <c r="E1" s="24" t="s">
        <v>412</v>
      </c>
      <c r="F1" s="24" t="s">
        <v>413</v>
      </c>
      <c r="G1" s="24" t="s">
        <v>414</v>
      </c>
      <c r="H1" s="24" t="s">
        <v>415</v>
      </c>
      <c r="I1" s="24" t="s">
        <v>416</v>
      </c>
      <c r="J1" s="24" t="s">
        <v>417</v>
      </c>
      <c r="K1" s="24" t="s">
        <v>418</v>
      </c>
      <c r="L1" s="24" t="s">
        <v>419</v>
      </c>
      <c r="M1" s="24" t="s">
        <v>380</v>
      </c>
    </row>
    <row r="2" spans="1:13" ht="105" x14ac:dyDescent="0.25">
      <c r="A2" s="23" t="s">
        <v>420</v>
      </c>
      <c r="B2" s="23" t="s">
        <v>421</v>
      </c>
      <c r="C2" s="23" t="s">
        <v>422</v>
      </c>
      <c r="D2" s="23" t="s">
        <v>423</v>
      </c>
      <c r="E2" s="24" t="s">
        <v>424</v>
      </c>
      <c r="F2" s="24" t="s">
        <v>425</v>
      </c>
      <c r="G2" s="24" t="s">
        <v>426</v>
      </c>
      <c r="H2" s="24" t="s">
        <v>427</v>
      </c>
      <c r="I2" s="24" t="s">
        <v>428</v>
      </c>
      <c r="J2" s="24" t="s">
        <v>429</v>
      </c>
      <c r="K2" s="24" t="s">
        <v>430</v>
      </c>
      <c r="L2" s="24" t="s">
        <v>431</v>
      </c>
      <c r="M2" s="24" t="s">
        <v>432</v>
      </c>
    </row>
    <row r="3" spans="1:13" ht="90" x14ac:dyDescent="0.25">
      <c r="A3" s="23" t="s">
        <v>433</v>
      </c>
      <c r="B3" s="23" t="s">
        <v>434</v>
      </c>
      <c r="C3" s="23" t="s">
        <v>435</v>
      </c>
      <c r="D3" s="23" t="s">
        <v>436</v>
      </c>
      <c r="E3" s="24" t="s">
        <v>437</v>
      </c>
      <c r="F3" s="24" t="s">
        <v>438</v>
      </c>
      <c r="G3" s="24" t="s">
        <v>439</v>
      </c>
      <c r="H3" s="24" t="s">
        <v>440</v>
      </c>
      <c r="I3" s="24" t="s">
        <v>441</v>
      </c>
      <c r="J3" s="24" t="s">
        <v>442</v>
      </c>
      <c r="K3" s="24" t="s">
        <v>443</v>
      </c>
      <c r="L3" s="24" t="s">
        <v>444</v>
      </c>
      <c r="M3" s="24" t="s">
        <v>445</v>
      </c>
    </row>
    <row r="4" spans="1:13" ht="90" x14ac:dyDescent="0.25">
      <c r="A4" s="23" t="s">
        <v>446</v>
      </c>
      <c r="B4" s="23" t="s">
        <v>447</v>
      </c>
      <c r="C4" s="23" t="s">
        <v>422</v>
      </c>
      <c r="D4" s="23" t="s">
        <v>448</v>
      </c>
      <c r="E4" s="24" t="s">
        <v>449</v>
      </c>
      <c r="F4" s="24" t="s">
        <v>450</v>
      </c>
      <c r="G4" s="24" t="s">
        <v>451</v>
      </c>
      <c r="H4" s="24" t="s">
        <v>452</v>
      </c>
      <c r="I4" s="24" t="s">
        <v>453</v>
      </c>
      <c r="J4" s="24" t="s">
        <v>454</v>
      </c>
      <c r="K4" s="24" t="s">
        <v>455</v>
      </c>
      <c r="L4" s="24" t="s">
        <v>431</v>
      </c>
      <c r="M4" s="24" t="s">
        <v>456</v>
      </c>
    </row>
    <row r="5" spans="1:13" ht="105" x14ac:dyDescent="0.25">
      <c r="A5" s="23" t="s">
        <v>457</v>
      </c>
      <c r="B5" s="23" t="s">
        <v>458</v>
      </c>
      <c r="C5" s="23" t="s">
        <v>459</v>
      </c>
      <c r="D5" s="23" t="s">
        <v>460</v>
      </c>
      <c r="E5" s="24" t="s">
        <v>461</v>
      </c>
      <c r="F5" s="24" t="s">
        <v>462</v>
      </c>
      <c r="G5" s="24" t="s">
        <v>463</v>
      </c>
      <c r="H5" s="24" t="s">
        <v>464</v>
      </c>
      <c r="I5" s="24" t="s">
        <v>465</v>
      </c>
      <c r="J5" s="24" t="s">
        <v>466</v>
      </c>
      <c r="K5" s="24" t="s">
        <v>467</v>
      </c>
      <c r="L5" s="24" t="s">
        <v>468</v>
      </c>
      <c r="M5" s="24" t="s">
        <v>469</v>
      </c>
    </row>
    <row r="6" spans="1:13" ht="90" x14ac:dyDescent="0.25">
      <c r="A6" s="23" t="s">
        <v>470</v>
      </c>
      <c r="B6" s="23" t="s">
        <v>471</v>
      </c>
      <c r="C6" s="23" t="s">
        <v>472</v>
      </c>
      <c r="D6" s="23" t="s">
        <v>473</v>
      </c>
      <c r="E6" s="24" t="s">
        <v>474</v>
      </c>
      <c r="F6" s="24" t="s">
        <v>475</v>
      </c>
      <c r="G6" s="24" t="s">
        <v>476</v>
      </c>
      <c r="H6" s="24" t="s">
        <v>477</v>
      </c>
      <c r="I6" s="24" t="s">
        <v>478</v>
      </c>
      <c r="J6" s="24" t="s">
        <v>479</v>
      </c>
      <c r="K6" s="24" t="s">
        <v>480</v>
      </c>
      <c r="L6" s="24" t="s">
        <v>481</v>
      </c>
      <c r="M6" s="24" t="s">
        <v>482</v>
      </c>
    </row>
    <row r="7" spans="1:13" ht="90" x14ac:dyDescent="0.25">
      <c r="A7" s="23" t="s">
        <v>483</v>
      </c>
      <c r="B7" s="23" t="s">
        <v>484</v>
      </c>
      <c r="C7" s="23" t="s">
        <v>485</v>
      </c>
      <c r="D7" s="23" t="s">
        <v>486</v>
      </c>
      <c r="E7" s="24" t="s">
        <v>487</v>
      </c>
      <c r="F7" s="24" t="s">
        <v>488</v>
      </c>
      <c r="G7" s="24" t="s">
        <v>489</v>
      </c>
      <c r="H7" s="24" t="s">
        <v>490</v>
      </c>
      <c r="I7" s="24" t="s">
        <v>491</v>
      </c>
      <c r="J7" s="24" t="s">
        <v>492</v>
      </c>
      <c r="K7" s="24" t="s">
        <v>493</v>
      </c>
      <c r="L7" s="24" t="s">
        <v>494</v>
      </c>
      <c r="M7" s="24" t="s">
        <v>495</v>
      </c>
    </row>
    <row r="8" spans="1:13" ht="90" x14ac:dyDescent="0.25">
      <c r="A8" s="23" t="s">
        <v>496</v>
      </c>
      <c r="B8" s="23" t="s">
        <v>497</v>
      </c>
      <c r="C8" s="23" t="s">
        <v>485</v>
      </c>
      <c r="D8" s="23" t="s">
        <v>486</v>
      </c>
      <c r="E8" s="24" t="s">
        <v>498</v>
      </c>
      <c r="F8" s="24" t="s">
        <v>499</v>
      </c>
      <c r="G8" s="24" t="s">
        <v>500</v>
      </c>
      <c r="H8" s="24" t="s">
        <v>501</v>
      </c>
      <c r="I8" s="24" t="s">
        <v>502</v>
      </c>
      <c r="J8" s="24" t="s">
        <v>503</v>
      </c>
      <c r="K8" s="24" t="s">
        <v>504</v>
      </c>
      <c r="L8" s="24" t="s">
        <v>494</v>
      </c>
      <c r="M8" s="24" t="s">
        <v>505</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B53319-87DF-42F4-9603-BFC65884458E}">
  <dimension ref="A1:I8"/>
  <sheetViews>
    <sheetView workbookViewId="0">
      <selection sqref="A1:H1"/>
    </sheetView>
  </sheetViews>
  <sheetFormatPr defaultRowHeight="15" x14ac:dyDescent="0.25"/>
  <cols>
    <col min="1" max="1" width="23.85546875" style="1" customWidth="1"/>
    <col min="2" max="3" width="40" style="1" customWidth="1"/>
    <col min="4" max="4" width="18.140625" style="1" customWidth="1"/>
    <col min="5" max="6" width="27.5703125" style="1" customWidth="1"/>
    <col min="7" max="7" width="49.5703125" style="1" customWidth="1"/>
    <col min="8" max="8" width="27.5703125" style="1" customWidth="1"/>
    <col min="9" max="9" width="44.7109375" style="1" customWidth="1"/>
  </cols>
  <sheetData>
    <row r="1" spans="1:9" ht="32.1" customHeight="1" x14ac:dyDescent="0.25">
      <c r="A1" s="1" t="s">
        <v>506</v>
      </c>
      <c r="B1" s="1" t="s">
        <v>507</v>
      </c>
      <c r="C1" s="1" t="s">
        <v>508</v>
      </c>
      <c r="D1" s="1" t="s">
        <v>509</v>
      </c>
      <c r="E1" s="1" t="s">
        <v>510</v>
      </c>
      <c r="F1" s="1" t="s">
        <v>511</v>
      </c>
      <c r="G1" s="1" t="s">
        <v>512</v>
      </c>
      <c r="H1" s="1" t="s">
        <v>513</v>
      </c>
      <c r="I1" s="1" t="s">
        <v>514</v>
      </c>
    </row>
    <row r="2" spans="1:9" ht="120" x14ac:dyDescent="0.25">
      <c r="A2" s="24" t="s">
        <v>515</v>
      </c>
      <c r="B2" s="24" t="s">
        <v>516</v>
      </c>
      <c r="C2" s="24" t="s">
        <v>517</v>
      </c>
      <c r="D2" s="24" t="s">
        <v>518</v>
      </c>
      <c r="E2" s="24" t="s">
        <v>434</v>
      </c>
      <c r="F2" s="24" t="s">
        <v>519</v>
      </c>
      <c r="G2" s="24" t="s">
        <v>520</v>
      </c>
      <c r="H2" s="24" t="s">
        <v>421</v>
      </c>
      <c r="I2" s="24" t="s">
        <v>521</v>
      </c>
    </row>
    <row r="3" spans="1:9" ht="90" x14ac:dyDescent="0.25">
      <c r="A3" s="24" t="s">
        <v>522</v>
      </c>
      <c r="B3" s="24" t="s">
        <v>523</v>
      </c>
      <c r="C3" s="24" t="s">
        <v>524</v>
      </c>
      <c r="D3" s="24" t="s">
        <v>525</v>
      </c>
      <c r="E3" s="24" t="s">
        <v>447</v>
      </c>
      <c r="F3" s="24" t="s">
        <v>526</v>
      </c>
      <c r="G3" s="24" t="s">
        <v>527</v>
      </c>
      <c r="H3" s="24" t="s">
        <v>421</v>
      </c>
      <c r="I3" s="24" t="s">
        <v>528</v>
      </c>
    </row>
    <row r="4" spans="1:9" ht="105" x14ac:dyDescent="0.25">
      <c r="A4" s="24" t="s">
        <v>529</v>
      </c>
      <c r="B4" s="24" t="s">
        <v>530</v>
      </c>
      <c r="C4" s="24" t="s">
        <v>531</v>
      </c>
      <c r="D4" s="24" t="s">
        <v>518</v>
      </c>
      <c r="E4" s="24" t="s">
        <v>484</v>
      </c>
      <c r="F4" s="24" t="s">
        <v>532</v>
      </c>
      <c r="G4" s="24" t="s">
        <v>533</v>
      </c>
      <c r="H4" s="24" t="s">
        <v>421</v>
      </c>
      <c r="I4" s="24" t="s">
        <v>534</v>
      </c>
    </row>
    <row r="5" spans="1:9" ht="90" x14ac:dyDescent="0.25">
      <c r="A5" s="24" t="s">
        <v>535</v>
      </c>
      <c r="B5" s="24" t="s">
        <v>536</v>
      </c>
      <c r="C5" s="24" t="s">
        <v>537</v>
      </c>
      <c r="D5" s="24" t="s">
        <v>525</v>
      </c>
      <c r="E5" s="24" t="s">
        <v>497</v>
      </c>
      <c r="F5" s="24" t="s">
        <v>538</v>
      </c>
      <c r="G5" s="24" t="s">
        <v>539</v>
      </c>
      <c r="H5" s="24" t="s">
        <v>447</v>
      </c>
      <c r="I5" s="24" t="s">
        <v>540</v>
      </c>
    </row>
    <row r="6" spans="1:9" ht="90" x14ac:dyDescent="0.25">
      <c r="A6" s="24" t="s">
        <v>541</v>
      </c>
      <c r="B6" s="24" t="s">
        <v>542</v>
      </c>
      <c r="C6" s="24" t="s">
        <v>543</v>
      </c>
      <c r="D6" s="24" t="s">
        <v>544</v>
      </c>
      <c r="E6" s="24" t="s">
        <v>458</v>
      </c>
      <c r="F6" s="24" t="s">
        <v>545</v>
      </c>
      <c r="G6" s="24" t="s">
        <v>546</v>
      </c>
      <c r="H6" s="24" t="s">
        <v>434</v>
      </c>
      <c r="I6" s="24" t="s">
        <v>547</v>
      </c>
    </row>
    <row r="7" spans="1:9" ht="105" x14ac:dyDescent="0.25">
      <c r="A7" s="24" t="s">
        <v>548</v>
      </c>
      <c r="B7" s="24" t="s">
        <v>549</v>
      </c>
      <c r="C7" s="24" t="s">
        <v>550</v>
      </c>
      <c r="D7" s="24" t="s">
        <v>518</v>
      </c>
      <c r="E7" s="24" t="s">
        <v>421</v>
      </c>
      <c r="F7" s="24" t="s">
        <v>551</v>
      </c>
      <c r="G7" s="24" t="s">
        <v>552</v>
      </c>
      <c r="H7" s="24" t="s">
        <v>447</v>
      </c>
      <c r="I7" s="24" t="s">
        <v>553</v>
      </c>
    </row>
    <row r="8" spans="1:9" ht="135" x14ac:dyDescent="0.25">
      <c r="A8" s="24" t="s">
        <v>554</v>
      </c>
      <c r="B8" s="24" t="s">
        <v>555</v>
      </c>
      <c r="C8" s="24" t="s">
        <v>556</v>
      </c>
      <c r="D8" s="24" t="s">
        <v>557</v>
      </c>
      <c r="E8" s="24" t="s">
        <v>471</v>
      </c>
      <c r="F8" s="24" t="s">
        <v>558</v>
      </c>
      <c r="G8" s="24" t="s">
        <v>559</v>
      </c>
      <c r="H8" s="24" t="s">
        <v>421</v>
      </c>
      <c r="I8" s="24" t="s">
        <v>560</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F6C0E4-27D5-4614-961B-35F3B9FBD9CD}">
  <dimension ref="A1:W3"/>
  <sheetViews>
    <sheetView workbookViewId="0">
      <selection sqref="A1:H1"/>
    </sheetView>
  </sheetViews>
  <sheetFormatPr defaultRowHeight="15" x14ac:dyDescent="0.25"/>
  <cols>
    <col min="1" max="1" width="16.140625" style="24" customWidth="1"/>
    <col min="2" max="3" width="33.28515625" style="24" customWidth="1"/>
    <col min="4" max="7" width="20" style="24" customWidth="1"/>
    <col min="8" max="14" width="36.140625" style="24" customWidth="1"/>
    <col min="15" max="20" width="27.5703125" style="24" customWidth="1"/>
    <col min="22" max="23" width="22.85546875" customWidth="1"/>
  </cols>
  <sheetData>
    <row r="1" spans="1:23" ht="33.950000000000003" customHeight="1" x14ac:dyDescent="0.25">
      <c r="A1" s="24" t="s">
        <v>561</v>
      </c>
      <c r="B1" s="24" t="s">
        <v>562</v>
      </c>
      <c r="C1" s="24" t="s">
        <v>563</v>
      </c>
      <c r="D1" s="24" t="s">
        <v>564</v>
      </c>
      <c r="E1" s="24" t="s">
        <v>565</v>
      </c>
      <c r="F1" s="24" t="s">
        <v>566</v>
      </c>
      <c r="G1" s="24" t="s">
        <v>567</v>
      </c>
      <c r="H1" s="24" t="s">
        <v>568</v>
      </c>
      <c r="I1" s="24" t="s">
        <v>569</v>
      </c>
      <c r="J1" s="24" t="s">
        <v>570</v>
      </c>
      <c r="K1" s="24" t="s">
        <v>571</v>
      </c>
      <c r="L1" s="24" t="s">
        <v>572</v>
      </c>
      <c r="M1" s="24" t="s">
        <v>419</v>
      </c>
      <c r="N1" s="24" t="s">
        <v>380</v>
      </c>
      <c r="O1" s="24" t="s">
        <v>573</v>
      </c>
      <c r="P1" s="24" t="s">
        <v>574</v>
      </c>
      <c r="Q1" s="24" t="s">
        <v>575</v>
      </c>
      <c r="R1" s="24" t="s">
        <v>576</v>
      </c>
      <c r="S1" s="24" t="s">
        <v>577</v>
      </c>
      <c r="T1" s="24" t="s">
        <v>578</v>
      </c>
      <c r="V1" t="s">
        <v>579</v>
      </c>
      <c r="W1" t="s">
        <v>580</v>
      </c>
    </row>
    <row r="2" spans="1:23" ht="75" x14ac:dyDescent="0.25">
      <c r="A2" s="24" t="s">
        <v>1095</v>
      </c>
      <c r="B2" s="24" t="s">
        <v>1096</v>
      </c>
      <c r="C2" s="24" t="s">
        <v>1097</v>
      </c>
      <c r="D2" s="24" t="s">
        <v>19</v>
      </c>
      <c r="E2" s="26">
        <v>46398</v>
      </c>
      <c r="F2" s="26">
        <v>46478</v>
      </c>
      <c r="G2" s="26">
        <v>46303</v>
      </c>
      <c r="H2" s="24" t="s">
        <v>1098</v>
      </c>
      <c r="I2" s="24" t="s">
        <v>1099</v>
      </c>
      <c r="J2" s="24" t="s">
        <v>1100</v>
      </c>
      <c r="K2" s="24" t="s">
        <v>1101</v>
      </c>
      <c r="L2" s="24" t="s">
        <v>1102</v>
      </c>
      <c r="M2" s="24" t="s">
        <v>1086</v>
      </c>
      <c r="N2" s="24" t="s">
        <v>1103</v>
      </c>
      <c r="O2" s="26" t="str">
        <f t="shared" ref="O2:O3" si="0">IF($W$2="","",$W$2-180)</f>
        <v/>
      </c>
      <c r="P2" s="27" t="str">
        <f>IF(OR(tblFellowshipTracking[[#This Row],[cohort_start_date]]="",tblFellowshipTracking[[#This Row],[eligibility_window_start]]=""),"",tblFellowshipTracking[[#This Row],[cohort_start_date]]-tblFellowshipTracking[[#This Row],[eligibility_window_start]])</f>
        <v/>
      </c>
      <c r="Q2" s="24" t="str">
        <f>IF($W$2="","Enter separation date",IF(tblFellowshipTracking[[#This Row],[cohort_start_date]]="","Missing cohort start",IF(AND(tblFellowshipTracking[[#This Row],[cohort_start_date]]&gt;=tblFellowshipTracking[[#This Row],[eligibility_window_start]],tblFellowshipTracking[[#This Row],[cohort_start_date]]&lt;=$W$2),"Yes","No")))</f>
        <v>Enter separation date</v>
      </c>
      <c r="R2" s="24" t="str">
        <f>IF($W$2="","Enter separation date",IF(tblFellowshipTracking[[#This Row],[cohort_end_date]]="","Missing cohort end",IF(tblFellowshipTracking[[#This Row],[cohort_end_date]]&lt;=$W$2,"Yes","No")))</f>
        <v>Enter separation date</v>
      </c>
      <c r="S2" s="24" t="str">
        <f ca="1">IF($W$2="","Enter separation date",IF(tblFellowshipTracking[[#This Row],[application_deadline]]="","Missing deadline",IF(tblFellowshipTracking[[#This Row],[application_deadline]]&lt;TODAY(),"Closed / past",IF(tblFellowshipTracking[[#This Row],[application_deadline]]&lt;tblFellowshipTracking[[#This Row],[eligibility_window_start]],"Before 180-day window","Open during or after window"))))</f>
        <v>Enter separation date</v>
      </c>
      <c r="T2" s="24" t="str">
        <f>IF($W$2="","Enter separation date",IF(tblFellowshipTracking[[#This Row],[skillbridge_eligible]]&lt;&gt;"Yes","Not marked SkillBridge eligible",IF(AND(tblFellowshipTracking[[#This Row],[cohort_starts_within_180_day_window]]="Yes",tblFellowshipTracking[[#This Row],[cohort_ends_by_separation]]="Yes"),"Timing aligned - verify approval","Timing conflict or incomplete")))</f>
        <v>Enter separation date</v>
      </c>
      <c r="V2" t="s">
        <v>581</v>
      </c>
      <c r="W2" s="25"/>
    </row>
    <row r="3" spans="1:23" ht="75" x14ac:dyDescent="0.25">
      <c r="A3" s="24" t="s">
        <v>1104</v>
      </c>
      <c r="B3" s="24" t="s">
        <v>1105</v>
      </c>
      <c r="C3" s="24" t="s">
        <v>1097</v>
      </c>
      <c r="D3" s="24" t="s">
        <v>19</v>
      </c>
      <c r="E3" s="26">
        <v>46510</v>
      </c>
      <c r="F3" s="26">
        <v>46590</v>
      </c>
      <c r="G3" s="26">
        <v>46429</v>
      </c>
      <c r="H3" s="24" t="s">
        <v>1098</v>
      </c>
      <c r="I3" s="24" t="s">
        <v>1099</v>
      </c>
      <c r="J3" s="24" t="s">
        <v>1100</v>
      </c>
      <c r="K3" s="24" t="s">
        <v>1101</v>
      </c>
      <c r="L3" s="24" t="s">
        <v>1102</v>
      </c>
      <c r="M3" s="24" t="s">
        <v>1086</v>
      </c>
      <c r="N3" s="24" t="s">
        <v>1103</v>
      </c>
      <c r="O3" s="26" t="str">
        <f t="shared" si="0"/>
        <v/>
      </c>
      <c r="P3" s="27" t="str">
        <f>IF(OR(tblFellowshipTracking[[#This Row],[cohort_start_date]]="",tblFellowshipTracking[[#This Row],[eligibility_window_start]]=""),"",tblFellowshipTracking[[#This Row],[cohort_start_date]]-tblFellowshipTracking[[#This Row],[eligibility_window_start]])</f>
        <v/>
      </c>
      <c r="Q3" s="24" t="str">
        <f>IF($W$2="","Enter separation date",IF(tblFellowshipTracking[[#This Row],[cohort_start_date]]="","Missing cohort start",IF(AND(tblFellowshipTracking[[#This Row],[cohort_start_date]]&gt;=tblFellowshipTracking[[#This Row],[eligibility_window_start]],tblFellowshipTracking[[#This Row],[cohort_start_date]]&lt;=$W$2),"Yes","No")))</f>
        <v>Enter separation date</v>
      </c>
      <c r="R3" s="24" t="str">
        <f>IF($W$2="","Enter separation date",IF(tblFellowshipTracking[[#This Row],[cohort_end_date]]="","Missing cohort end",IF(tblFellowshipTracking[[#This Row],[cohort_end_date]]&lt;=$W$2,"Yes","No")))</f>
        <v>Enter separation date</v>
      </c>
      <c r="S3" s="24" t="str">
        <f ca="1">IF($W$2="","Enter separation date",IF(tblFellowshipTracking[[#This Row],[application_deadline]]="","Missing deadline",IF(tblFellowshipTracking[[#This Row],[application_deadline]]&lt;TODAY(),"Closed / past",IF(tblFellowshipTracking[[#This Row],[application_deadline]]&lt;tblFellowshipTracking[[#This Row],[eligibility_window_start]],"Before 180-day window","Open during or after window"))))</f>
        <v>Enter separation date</v>
      </c>
      <c r="T3" s="24" t="str">
        <f>IF($W$2="","Enter separation date",IF(tblFellowshipTracking[[#This Row],[skillbridge_eligible]]&lt;&gt;"Yes","Not marked SkillBridge eligible",IF(AND(tblFellowshipTracking[[#This Row],[cohort_starts_within_180_day_window]]="Yes",tblFellowshipTracking[[#This Row],[cohort_ends_by_separation]]="Yes"),"Timing aligned - verify approval","Timing conflict or incomplete")))</f>
        <v>Enter separation date</v>
      </c>
    </row>
  </sheetData>
  <pageMargins left="0.7" right="0.7" top="0.75" bottom="0.75" header="0.3" footer="0.3"/>
  <tableParts count="2">
    <tablePart r:id="rId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2BA095-EF75-4A01-AF63-561F7B7820E2}">
  <dimension ref="A1:N2"/>
  <sheetViews>
    <sheetView workbookViewId="0">
      <selection sqref="A1:H1"/>
    </sheetView>
  </sheetViews>
  <sheetFormatPr defaultRowHeight="15" x14ac:dyDescent="0.25"/>
  <cols>
    <col min="1" max="1" width="18.140625" style="1" customWidth="1"/>
    <col min="2" max="4" width="31.42578125" style="1" customWidth="1"/>
    <col min="5" max="9" width="41.85546875" style="1" customWidth="1"/>
    <col min="10" max="11" width="20" style="1" customWidth="1"/>
    <col min="12" max="14" width="43.85546875" style="1" customWidth="1"/>
  </cols>
  <sheetData>
    <row r="1" spans="1:14" ht="33.950000000000003" customHeight="1" x14ac:dyDescent="0.25">
      <c r="A1" s="1" t="s">
        <v>582</v>
      </c>
      <c r="B1" s="1" t="s">
        <v>583</v>
      </c>
      <c r="C1" s="1" t="s">
        <v>584</v>
      </c>
      <c r="D1" s="1" t="s">
        <v>585</v>
      </c>
      <c r="E1" s="1" t="s">
        <v>413</v>
      </c>
      <c r="F1" s="1" t="s">
        <v>586</v>
      </c>
      <c r="G1" s="1" t="s">
        <v>587</v>
      </c>
      <c r="H1" s="1" t="s">
        <v>588</v>
      </c>
      <c r="I1" s="1" t="s">
        <v>589</v>
      </c>
      <c r="J1" s="1" t="s">
        <v>590</v>
      </c>
      <c r="K1" s="1" t="s">
        <v>591</v>
      </c>
      <c r="L1" s="1" t="s">
        <v>592</v>
      </c>
      <c r="M1" s="1" t="s">
        <v>419</v>
      </c>
      <c r="N1" s="1" t="s">
        <v>380</v>
      </c>
    </row>
    <row r="2" spans="1:14" ht="120" x14ac:dyDescent="0.25">
      <c r="A2" s="24" t="s">
        <v>1106</v>
      </c>
      <c r="B2" s="24" t="s">
        <v>1107</v>
      </c>
      <c r="C2" s="24" t="s">
        <v>1108</v>
      </c>
      <c r="D2" s="24" t="s">
        <v>1109</v>
      </c>
      <c r="E2" s="24" t="s">
        <v>1110</v>
      </c>
      <c r="F2" s="24" t="s">
        <v>1111</v>
      </c>
      <c r="G2" s="24" t="s">
        <v>1112</v>
      </c>
      <c r="H2" s="24" t="s">
        <v>1113</v>
      </c>
      <c r="I2" s="24" t="s">
        <v>1114</v>
      </c>
      <c r="J2" s="24" t="s">
        <v>1115</v>
      </c>
      <c r="K2" s="24" t="s">
        <v>1116</v>
      </c>
      <c r="L2" s="24" t="s">
        <v>1117</v>
      </c>
      <c r="M2" s="24" t="s">
        <v>1092</v>
      </c>
      <c r="N2" s="24" t="s">
        <v>1118</v>
      </c>
    </row>
  </sheetData>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36A02F-94F5-4CF7-A9BB-6B74CF7AB6FE}">
  <dimension ref="A1:G10"/>
  <sheetViews>
    <sheetView tabSelected="1" workbookViewId="0">
      <selection sqref="A1:H1"/>
    </sheetView>
  </sheetViews>
  <sheetFormatPr defaultRowHeight="15" x14ac:dyDescent="0.25"/>
  <cols>
    <col min="1" max="1" width="22.85546875" style="1" customWidth="1"/>
    <col min="2" max="2" width="49.5703125" style="1" customWidth="1"/>
    <col min="3" max="4" width="33.28515625" style="1" customWidth="1"/>
    <col min="5" max="5" width="48.5703125" style="1" customWidth="1"/>
    <col min="6" max="6" width="36.140625" style="1" customWidth="1"/>
    <col min="7" max="7" width="47.5703125" style="1" customWidth="1"/>
  </cols>
  <sheetData>
    <row r="1" spans="1:7" ht="33.950000000000003" customHeight="1" x14ac:dyDescent="0.25">
      <c r="A1" s="1" t="s">
        <v>1657</v>
      </c>
      <c r="B1" s="1" t="s">
        <v>594</v>
      </c>
      <c r="C1" s="1" t="s">
        <v>595</v>
      </c>
      <c r="D1" s="1" t="s">
        <v>596</v>
      </c>
      <c r="E1" s="1" t="s">
        <v>597</v>
      </c>
      <c r="F1" s="1" t="s">
        <v>598</v>
      </c>
      <c r="G1" s="1" t="s">
        <v>380</v>
      </c>
    </row>
    <row r="2" spans="1:7" ht="75" x14ac:dyDescent="0.25">
      <c r="A2" s="24" t="s">
        <v>599</v>
      </c>
      <c r="B2" s="24" t="s">
        <v>600</v>
      </c>
      <c r="C2" s="24" t="s">
        <v>601</v>
      </c>
      <c r="D2" s="24" t="s">
        <v>602</v>
      </c>
      <c r="E2" s="24" t="s">
        <v>603</v>
      </c>
      <c r="F2" s="24" t="s">
        <v>604</v>
      </c>
      <c r="G2" s="24" t="s">
        <v>605</v>
      </c>
    </row>
    <row r="3" spans="1:7" ht="45" x14ac:dyDescent="0.25">
      <c r="A3" s="24" t="s">
        <v>606</v>
      </c>
      <c r="B3" s="24" t="s">
        <v>607</v>
      </c>
      <c r="C3" s="24" t="s">
        <v>608</v>
      </c>
      <c r="D3" s="24" t="s">
        <v>609</v>
      </c>
      <c r="E3" s="24" t="s">
        <v>610</v>
      </c>
      <c r="F3" s="24" t="s">
        <v>611</v>
      </c>
      <c r="G3" s="24" t="s">
        <v>612</v>
      </c>
    </row>
    <row r="4" spans="1:7" ht="45" x14ac:dyDescent="0.25">
      <c r="A4" s="24" t="s">
        <v>613</v>
      </c>
      <c r="B4" s="24" t="s">
        <v>614</v>
      </c>
      <c r="C4" s="24" t="s">
        <v>615</v>
      </c>
      <c r="D4" s="24" t="s">
        <v>616</v>
      </c>
      <c r="E4" s="24" t="s">
        <v>617</v>
      </c>
      <c r="F4" s="24" t="s">
        <v>604</v>
      </c>
      <c r="G4" s="24" t="s">
        <v>618</v>
      </c>
    </row>
    <row r="5" spans="1:7" ht="60" x14ac:dyDescent="0.25">
      <c r="A5" s="24" t="s">
        <v>619</v>
      </c>
      <c r="B5" s="24" t="s">
        <v>620</v>
      </c>
      <c r="C5" s="24" t="s">
        <v>621</v>
      </c>
      <c r="D5" s="24" t="s">
        <v>622</v>
      </c>
      <c r="E5" s="24" t="s">
        <v>623</v>
      </c>
      <c r="F5" s="24" t="s">
        <v>604</v>
      </c>
      <c r="G5" s="24" t="s">
        <v>624</v>
      </c>
    </row>
    <row r="6" spans="1:7" ht="45" x14ac:dyDescent="0.25">
      <c r="A6" s="24" t="s">
        <v>625</v>
      </c>
      <c r="B6" s="24" t="s">
        <v>626</v>
      </c>
      <c r="C6" s="24" t="s">
        <v>627</v>
      </c>
      <c r="D6" s="24" t="s">
        <v>628</v>
      </c>
      <c r="E6" s="24" t="s">
        <v>629</v>
      </c>
      <c r="F6" s="24" t="s">
        <v>630</v>
      </c>
      <c r="G6" s="24" t="s">
        <v>631</v>
      </c>
    </row>
    <row r="7" spans="1:7" ht="60" x14ac:dyDescent="0.25">
      <c r="A7" s="24" t="s">
        <v>632</v>
      </c>
      <c r="B7" s="24" t="s">
        <v>633</v>
      </c>
      <c r="C7" s="24" t="s">
        <v>634</v>
      </c>
      <c r="D7" s="24" t="s">
        <v>635</v>
      </c>
      <c r="E7" s="24" t="s">
        <v>636</v>
      </c>
      <c r="F7" s="24" t="s">
        <v>604</v>
      </c>
      <c r="G7" s="24" t="s">
        <v>637</v>
      </c>
    </row>
    <row r="8" spans="1:7" ht="75" x14ac:dyDescent="0.25">
      <c r="A8" s="24" t="s">
        <v>638</v>
      </c>
      <c r="B8" s="24" t="s">
        <v>639</v>
      </c>
      <c r="C8" s="24" t="s">
        <v>640</v>
      </c>
      <c r="D8" s="24" t="s">
        <v>641</v>
      </c>
      <c r="E8" s="24" t="s">
        <v>642</v>
      </c>
      <c r="F8" s="24" t="s">
        <v>630</v>
      </c>
      <c r="G8" s="24" t="s">
        <v>643</v>
      </c>
    </row>
    <row r="9" spans="1:7" ht="75" x14ac:dyDescent="0.25">
      <c r="A9" s="24" t="s">
        <v>644</v>
      </c>
      <c r="B9" s="24" t="s">
        <v>645</v>
      </c>
      <c r="C9" s="24" t="s">
        <v>646</v>
      </c>
      <c r="D9" s="24" t="s">
        <v>647</v>
      </c>
      <c r="E9" s="24" t="s">
        <v>648</v>
      </c>
      <c r="F9" s="24" t="s">
        <v>649</v>
      </c>
      <c r="G9" s="24" t="s">
        <v>650</v>
      </c>
    </row>
    <row r="10" spans="1:7" ht="60" x14ac:dyDescent="0.25">
      <c r="A10" s="24" t="s">
        <v>651</v>
      </c>
      <c r="B10" s="24" t="s">
        <v>652</v>
      </c>
      <c r="C10" s="24" t="s">
        <v>653</v>
      </c>
      <c r="D10" s="24" t="s">
        <v>654</v>
      </c>
      <c r="E10" s="24" t="s">
        <v>655</v>
      </c>
      <c r="F10" s="24" t="s">
        <v>611</v>
      </c>
      <c r="G10" s="24" t="s">
        <v>656</v>
      </c>
    </row>
  </sheetData>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13AC62-C81D-4E34-86CA-0EB2A7A9D57A}">
  <dimension ref="A1:H23"/>
  <sheetViews>
    <sheetView workbookViewId="0">
      <selection sqref="A1:H1"/>
    </sheetView>
  </sheetViews>
  <sheetFormatPr defaultRowHeight="15" x14ac:dyDescent="0.25"/>
  <cols>
    <col min="1" max="1" width="15.28515625" style="1" customWidth="1"/>
    <col min="2" max="2" width="40" style="1" customWidth="1"/>
    <col min="3" max="4" width="33.28515625" style="1" customWidth="1"/>
    <col min="5" max="5" width="47.5703125" style="1" customWidth="1"/>
    <col min="6" max="7" width="21" style="1" customWidth="1"/>
    <col min="8" max="8" width="43.85546875" style="1" customWidth="1"/>
  </cols>
  <sheetData>
    <row r="1" spans="1:8" ht="32.1" customHeight="1" x14ac:dyDescent="0.25">
      <c r="A1" s="1" t="s">
        <v>992</v>
      </c>
      <c r="B1" s="1" t="s">
        <v>993</v>
      </c>
      <c r="C1" s="1" t="s">
        <v>373</v>
      </c>
      <c r="D1" s="1" t="s">
        <v>994</v>
      </c>
      <c r="E1" s="1" t="s">
        <v>995</v>
      </c>
      <c r="F1" s="1" t="s">
        <v>996</v>
      </c>
      <c r="G1" s="1" t="s">
        <v>997</v>
      </c>
      <c r="H1" s="1" t="s">
        <v>380</v>
      </c>
    </row>
    <row r="2" spans="1:8" ht="30" x14ac:dyDescent="0.25">
      <c r="A2" s="24" t="s">
        <v>998</v>
      </c>
      <c r="B2" s="24" t="s">
        <v>999</v>
      </c>
      <c r="C2" s="24" t="s">
        <v>1000</v>
      </c>
      <c r="D2" s="24" t="s">
        <v>1001</v>
      </c>
      <c r="E2" s="24" t="s">
        <v>1002</v>
      </c>
      <c r="F2" s="26">
        <v>46284</v>
      </c>
      <c r="G2" s="24" t="s">
        <v>1003</v>
      </c>
      <c r="H2" s="24" t="s">
        <v>1004</v>
      </c>
    </row>
    <row r="3" spans="1:8" ht="30" x14ac:dyDescent="0.25">
      <c r="A3" s="24" t="s">
        <v>1005</v>
      </c>
      <c r="B3" s="24" t="s">
        <v>1006</v>
      </c>
      <c r="C3" s="24" t="s">
        <v>1007</v>
      </c>
      <c r="D3" s="24" t="s">
        <v>1008</v>
      </c>
      <c r="E3" s="24" t="s">
        <v>431</v>
      </c>
      <c r="F3" s="26">
        <v>46284</v>
      </c>
      <c r="G3" s="24" t="s">
        <v>1003</v>
      </c>
      <c r="H3" s="24" t="s">
        <v>1009</v>
      </c>
    </row>
    <row r="4" spans="1:8" ht="30" x14ac:dyDescent="0.25">
      <c r="A4" s="24" t="s">
        <v>1010</v>
      </c>
      <c r="B4" s="24" t="s">
        <v>1011</v>
      </c>
      <c r="C4" s="24" t="s">
        <v>1007</v>
      </c>
      <c r="D4" s="24" t="s">
        <v>458</v>
      </c>
      <c r="E4" s="24" t="s">
        <v>1012</v>
      </c>
      <c r="F4" s="26">
        <v>46284</v>
      </c>
      <c r="G4" s="24" t="s">
        <v>1003</v>
      </c>
      <c r="H4" s="24" t="s">
        <v>1013</v>
      </c>
    </row>
    <row r="5" spans="1:8" ht="30" x14ac:dyDescent="0.25">
      <c r="A5" s="24" t="s">
        <v>1014</v>
      </c>
      <c r="B5" s="24" t="s">
        <v>1015</v>
      </c>
      <c r="C5" s="24" t="s">
        <v>1007</v>
      </c>
      <c r="D5" s="24" t="s">
        <v>471</v>
      </c>
      <c r="E5" s="24" t="s">
        <v>1016</v>
      </c>
      <c r="F5" s="26">
        <v>46284</v>
      </c>
      <c r="G5" s="24" t="s">
        <v>1003</v>
      </c>
      <c r="H5" s="24" t="s">
        <v>1017</v>
      </c>
    </row>
    <row r="6" spans="1:8" ht="30" x14ac:dyDescent="0.25">
      <c r="A6" s="24" t="s">
        <v>1018</v>
      </c>
      <c r="B6" s="24" t="s">
        <v>1019</v>
      </c>
      <c r="C6" s="24" t="s">
        <v>1007</v>
      </c>
      <c r="D6" s="24" t="s">
        <v>1020</v>
      </c>
      <c r="E6" s="24" t="s">
        <v>494</v>
      </c>
      <c r="F6" s="26">
        <v>46284</v>
      </c>
      <c r="G6" s="24" t="s">
        <v>1003</v>
      </c>
      <c r="H6" s="24" t="s">
        <v>1021</v>
      </c>
    </row>
    <row r="7" spans="1:8" ht="30" x14ac:dyDescent="0.25">
      <c r="A7" s="24" t="s">
        <v>1022</v>
      </c>
      <c r="B7" s="24" t="s">
        <v>1023</v>
      </c>
      <c r="C7" s="24" t="s">
        <v>1024</v>
      </c>
      <c r="D7" s="24" t="s">
        <v>434</v>
      </c>
      <c r="E7" s="24" t="s">
        <v>1025</v>
      </c>
      <c r="F7" s="26">
        <v>46284</v>
      </c>
      <c r="G7" s="24" t="s">
        <v>1003</v>
      </c>
      <c r="H7" s="24" t="s">
        <v>1026</v>
      </c>
    </row>
    <row r="8" spans="1:8" ht="30" x14ac:dyDescent="0.25">
      <c r="A8" s="24" t="s">
        <v>1027</v>
      </c>
      <c r="B8" s="24" t="s">
        <v>1028</v>
      </c>
      <c r="C8" s="24" t="s">
        <v>1029</v>
      </c>
      <c r="D8" s="24" t="s">
        <v>1030</v>
      </c>
      <c r="E8" s="24" t="s">
        <v>1031</v>
      </c>
      <c r="F8" s="26">
        <v>46284</v>
      </c>
      <c r="G8" s="24" t="s">
        <v>1003</v>
      </c>
      <c r="H8" s="24" t="s">
        <v>1032</v>
      </c>
    </row>
    <row r="9" spans="1:8" ht="30" x14ac:dyDescent="0.25">
      <c r="A9" s="24" t="s">
        <v>1033</v>
      </c>
      <c r="B9" s="24" t="s">
        <v>1034</v>
      </c>
      <c r="C9" s="24" t="s">
        <v>1035</v>
      </c>
      <c r="D9" s="24" t="s">
        <v>458</v>
      </c>
      <c r="E9" s="24" t="s">
        <v>468</v>
      </c>
      <c r="F9" s="26">
        <v>46284</v>
      </c>
      <c r="G9" s="24" t="s">
        <v>1003</v>
      </c>
      <c r="H9" s="24" t="s">
        <v>1036</v>
      </c>
    </row>
    <row r="10" spans="1:8" ht="45" x14ac:dyDescent="0.25">
      <c r="A10" s="24" t="s">
        <v>1037</v>
      </c>
      <c r="B10" s="24" t="s">
        <v>1038</v>
      </c>
      <c r="C10" s="24" t="s">
        <v>1039</v>
      </c>
      <c r="D10" s="24" t="s">
        <v>1040</v>
      </c>
      <c r="E10" s="24" t="s">
        <v>1041</v>
      </c>
      <c r="F10" s="26">
        <v>46284</v>
      </c>
      <c r="G10" s="24" t="s">
        <v>1003</v>
      </c>
      <c r="H10" s="24" t="s">
        <v>1042</v>
      </c>
    </row>
    <row r="11" spans="1:8" ht="30" x14ac:dyDescent="0.25">
      <c r="A11" s="24" t="s">
        <v>1043</v>
      </c>
      <c r="B11" s="24" t="s">
        <v>1044</v>
      </c>
      <c r="C11" s="24" t="s">
        <v>1039</v>
      </c>
      <c r="D11" s="24" t="s">
        <v>1008</v>
      </c>
      <c r="E11" s="24" t="s">
        <v>1045</v>
      </c>
      <c r="F11" s="26">
        <v>46284</v>
      </c>
      <c r="G11" s="24" t="s">
        <v>1003</v>
      </c>
      <c r="H11" s="24" t="s">
        <v>1046</v>
      </c>
    </row>
    <row r="12" spans="1:8" ht="45" x14ac:dyDescent="0.25">
      <c r="A12" s="24" t="s">
        <v>1047</v>
      </c>
      <c r="B12" s="24" t="s">
        <v>1048</v>
      </c>
      <c r="C12" s="24" t="s">
        <v>1049</v>
      </c>
      <c r="D12" s="24" t="s">
        <v>1050</v>
      </c>
      <c r="E12" s="24" t="s">
        <v>1051</v>
      </c>
      <c r="F12" s="26">
        <v>46284</v>
      </c>
      <c r="G12" s="24" t="s">
        <v>1003</v>
      </c>
      <c r="H12" s="24" t="s">
        <v>1052</v>
      </c>
    </row>
    <row r="13" spans="1:8" ht="30" x14ac:dyDescent="0.25">
      <c r="A13" s="24" t="s">
        <v>1053</v>
      </c>
      <c r="B13" s="24" t="s">
        <v>1054</v>
      </c>
      <c r="C13" s="24" t="s">
        <v>1055</v>
      </c>
      <c r="D13" s="24" t="s">
        <v>1008</v>
      </c>
      <c r="E13" s="24" t="s">
        <v>1056</v>
      </c>
      <c r="F13" s="26">
        <v>46284</v>
      </c>
      <c r="G13" s="24" t="s">
        <v>1003</v>
      </c>
      <c r="H13" s="24" t="s">
        <v>1057</v>
      </c>
    </row>
    <row r="14" spans="1:8" ht="30" x14ac:dyDescent="0.25">
      <c r="A14" s="24" t="s">
        <v>1058</v>
      </c>
      <c r="B14" s="24" t="s">
        <v>1059</v>
      </c>
      <c r="C14" s="24" t="s">
        <v>1055</v>
      </c>
      <c r="D14" s="24" t="s">
        <v>1020</v>
      </c>
      <c r="E14" s="24" t="s">
        <v>1060</v>
      </c>
      <c r="F14" s="26">
        <v>46284</v>
      </c>
      <c r="G14" s="24" t="s">
        <v>1003</v>
      </c>
      <c r="H14" s="24" t="s">
        <v>1061</v>
      </c>
    </row>
    <row r="15" spans="1:8" ht="30" x14ac:dyDescent="0.25">
      <c r="A15" s="24" t="s">
        <v>1062</v>
      </c>
      <c r="B15" s="24" t="s">
        <v>1063</v>
      </c>
      <c r="C15" s="24" t="s">
        <v>1064</v>
      </c>
      <c r="D15" s="24" t="s">
        <v>471</v>
      </c>
      <c r="E15" s="24" t="s">
        <v>481</v>
      </c>
      <c r="F15" s="26">
        <v>46284</v>
      </c>
      <c r="G15" s="24" t="s">
        <v>1065</v>
      </c>
      <c r="H15" s="24" t="s">
        <v>1066</v>
      </c>
    </row>
    <row r="16" spans="1:8" ht="45" x14ac:dyDescent="0.25">
      <c r="A16" s="24" t="s">
        <v>1067</v>
      </c>
      <c r="B16" s="24" t="s">
        <v>1068</v>
      </c>
      <c r="C16" s="24" t="s">
        <v>1064</v>
      </c>
      <c r="D16" s="24" t="s">
        <v>1069</v>
      </c>
      <c r="E16" s="24" t="s">
        <v>1070</v>
      </c>
      <c r="F16" s="26">
        <v>46284</v>
      </c>
      <c r="G16" s="24" t="s">
        <v>1065</v>
      </c>
      <c r="H16" s="24" t="s">
        <v>1071</v>
      </c>
    </row>
    <row r="17" spans="1:8" ht="30" x14ac:dyDescent="0.25">
      <c r="A17" s="24" t="s">
        <v>1072</v>
      </c>
      <c r="B17" s="24" t="s">
        <v>1073</v>
      </c>
      <c r="C17" s="24" t="s">
        <v>1074</v>
      </c>
      <c r="D17" s="24" t="s">
        <v>1008</v>
      </c>
      <c r="E17" s="24" t="s">
        <v>1075</v>
      </c>
      <c r="F17" s="26">
        <v>46284</v>
      </c>
      <c r="G17" s="24" t="s">
        <v>1003</v>
      </c>
      <c r="H17" s="24" t="s">
        <v>1076</v>
      </c>
    </row>
    <row r="18" spans="1:8" ht="30" x14ac:dyDescent="0.25">
      <c r="A18" s="24" t="s">
        <v>1077</v>
      </c>
      <c r="B18" s="24" t="s">
        <v>1078</v>
      </c>
      <c r="C18" s="24" t="s">
        <v>1079</v>
      </c>
      <c r="D18" s="24" t="s">
        <v>1080</v>
      </c>
      <c r="E18" s="24" t="s">
        <v>1081</v>
      </c>
      <c r="F18" s="26">
        <v>46284</v>
      </c>
      <c r="G18" s="24" t="s">
        <v>1003</v>
      </c>
      <c r="H18" s="24" t="s">
        <v>1082</v>
      </c>
    </row>
    <row r="19" spans="1:8" ht="45" x14ac:dyDescent="0.25">
      <c r="A19" s="24" t="s">
        <v>1083</v>
      </c>
      <c r="B19" s="24" t="s">
        <v>1084</v>
      </c>
      <c r="C19" s="24" t="s">
        <v>1085</v>
      </c>
      <c r="D19" s="24" t="s">
        <v>484</v>
      </c>
      <c r="E19" s="24" t="s">
        <v>1086</v>
      </c>
      <c r="F19" s="26">
        <v>46284</v>
      </c>
      <c r="G19" s="24" t="s">
        <v>1087</v>
      </c>
      <c r="H19" s="24" t="s">
        <v>1088</v>
      </c>
    </row>
    <row r="20" spans="1:8" ht="45" x14ac:dyDescent="0.25">
      <c r="A20" s="24" t="s">
        <v>1089</v>
      </c>
      <c r="B20" s="24" t="s">
        <v>1090</v>
      </c>
      <c r="C20" s="24" t="s">
        <v>1091</v>
      </c>
      <c r="D20" s="24" t="s">
        <v>497</v>
      </c>
      <c r="E20" s="24" t="s">
        <v>1092</v>
      </c>
      <c r="F20" s="26">
        <v>46284</v>
      </c>
      <c r="G20" s="24" t="s">
        <v>1093</v>
      </c>
      <c r="H20" s="24" t="s">
        <v>1094</v>
      </c>
    </row>
    <row r="21" spans="1:8" ht="45" x14ac:dyDescent="0.25">
      <c r="A21" s="24" t="s">
        <v>1433</v>
      </c>
      <c r="B21" s="24" t="s">
        <v>1434</v>
      </c>
      <c r="C21" s="24" t="s">
        <v>1435</v>
      </c>
      <c r="D21" s="24" t="s">
        <v>1436</v>
      </c>
      <c r="E21" s="24" t="s">
        <v>1437</v>
      </c>
      <c r="F21" s="26">
        <v>46284</v>
      </c>
      <c r="G21" s="24" t="s">
        <v>1003</v>
      </c>
      <c r="H21" s="24" t="s">
        <v>1438</v>
      </c>
    </row>
    <row r="22" spans="1:8" ht="45" x14ac:dyDescent="0.25">
      <c r="A22" s="24" t="s">
        <v>1439</v>
      </c>
      <c r="B22" s="24" t="s">
        <v>1440</v>
      </c>
      <c r="C22" s="24" t="s">
        <v>1441</v>
      </c>
      <c r="D22" s="24" t="s">
        <v>1069</v>
      </c>
      <c r="E22" s="24" t="s">
        <v>1442</v>
      </c>
      <c r="F22" s="26">
        <v>46284</v>
      </c>
      <c r="G22" s="24" t="s">
        <v>1003</v>
      </c>
      <c r="H22" s="24" t="s">
        <v>1443</v>
      </c>
    </row>
    <row r="23" spans="1:8" ht="60" x14ac:dyDescent="0.25">
      <c r="A23" s="24" t="s">
        <v>1444</v>
      </c>
      <c r="B23" s="24" t="s">
        <v>1445</v>
      </c>
      <c r="C23" s="24" t="s">
        <v>1446</v>
      </c>
      <c r="D23" s="24" t="s">
        <v>1080</v>
      </c>
      <c r="E23" s="24" t="s">
        <v>1447</v>
      </c>
      <c r="F23" s="26">
        <v>46284</v>
      </c>
      <c r="G23" s="24" t="s">
        <v>1003</v>
      </c>
      <c r="H23" s="24" t="s">
        <v>1448</v>
      </c>
    </row>
  </sheetData>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9A1657-3E7E-4E4E-9CAE-0B21C3C74DFA}">
  <sheetPr>
    <tabColor rgb="FF0369A1"/>
  </sheetPr>
  <dimension ref="A1:E12"/>
  <sheetViews>
    <sheetView workbookViewId="0">
      <selection sqref="A1:M1"/>
    </sheetView>
  </sheetViews>
  <sheetFormatPr defaultRowHeight="15" x14ac:dyDescent="0.25"/>
  <cols>
    <col min="1" max="1" width="26.7109375" bestFit="1" customWidth="1"/>
    <col min="2" max="2" width="14.5703125" bestFit="1" customWidth="1"/>
    <col min="3" max="3" width="57.140625" customWidth="1"/>
    <col min="4" max="4" width="22.5703125" bestFit="1" customWidth="1"/>
  </cols>
  <sheetData>
    <row r="1" spans="1:5" ht="15.75" thickBot="1" x14ac:dyDescent="0.3">
      <c r="A1" s="13" t="s">
        <v>390</v>
      </c>
      <c r="B1" s="13" t="s">
        <v>391</v>
      </c>
      <c r="C1" s="13" t="s">
        <v>392</v>
      </c>
      <c r="D1" s="13" t="s">
        <v>393</v>
      </c>
      <c r="E1" s="6"/>
    </row>
    <row r="2" spans="1:5" ht="189" x14ac:dyDescent="0.25">
      <c r="A2" s="10" t="s">
        <v>360</v>
      </c>
      <c r="B2" s="10" t="s">
        <v>69</v>
      </c>
      <c r="C2" s="10" t="s">
        <v>361</v>
      </c>
      <c r="D2" s="10" t="s">
        <v>362</v>
      </c>
      <c r="E2" s="6"/>
    </row>
    <row r="3" spans="1:5" ht="40.5" x14ac:dyDescent="0.25">
      <c r="A3" s="11" t="s">
        <v>70</v>
      </c>
      <c r="B3" s="11" t="s">
        <v>69</v>
      </c>
      <c r="C3" s="11" t="s">
        <v>71</v>
      </c>
      <c r="D3" s="11" t="s">
        <v>72</v>
      </c>
      <c r="E3" s="6"/>
    </row>
    <row r="4" spans="1:5" ht="162" x14ac:dyDescent="0.25">
      <c r="A4" s="10" t="s">
        <v>73</v>
      </c>
      <c r="B4" s="10" t="s">
        <v>69</v>
      </c>
      <c r="C4" s="10" t="s">
        <v>363</v>
      </c>
      <c r="D4" s="10" t="s">
        <v>364</v>
      </c>
      <c r="E4" s="6"/>
    </row>
    <row r="5" spans="1:5" ht="27" x14ac:dyDescent="0.25">
      <c r="A5" s="11" t="s">
        <v>74</v>
      </c>
      <c r="B5" s="11" t="s">
        <v>69</v>
      </c>
      <c r="C5" s="11" t="s">
        <v>75</v>
      </c>
      <c r="D5" s="11" t="s">
        <v>76</v>
      </c>
      <c r="E5" s="6"/>
    </row>
    <row r="6" spans="1:5" ht="40.5" x14ac:dyDescent="0.25">
      <c r="A6" s="10" t="s">
        <v>77</v>
      </c>
      <c r="B6" s="10" t="s">
        <v>78</v>
      </c>
      <c r="C6" s="10" t="s">
        <v>79</v>
      </c>
      <c r="D6" s="10" t="s">
        <v>80</v>
      </c>
      <c r="E6" s="6"/>
    </row>
    <row r="7" spans="1:5" ht="40.5" x14ac:dyDescent="0.25">
      <c r="A7" s="11" t="s">
        <v>81</v>
      </c>
      <c r="B7" s="11" t="s">
        <v>78</v>
      </c>
      <c r="C7" s="11" t="s">
        <v>82</v>
      </c>
      <c r="D7" s="11" t="s">
        <v>80</v>
      </c>
      <c r="E7" s="6"/>
    </row>
    <row r="8" spans="1:5" ht="40.5" x14ac:dyDescent="0.25">
      <c r="A8" s="10" t="s">
        <v>83</v>
      </c>
      <c r="B8" s="10" t="s">
        <v>78</v>
      </c>
      <c r="C8" s="10" t="s">
        <v>84</v>
      </c>
      <c r="D8" s="10" t="s">
        <v>85</v>
      </c>
      <c r="E8" s="6"/>
    </row>
    <row r="9" spans="1:5" ht="40.5" x14ac:dyDescent="0.25">
      <c r="A9" s="11" t="s">
        <v>86</v>
      </c>
      <c r="B9" s="11" t="s">
        <v>87</v>
      </c>
      <c r="C9" s="11" t="s">
        <v>88</v>
      </c>
      <c r="D9" s="11" t="s">
        <v>89</v>
      </c>
      <c r="E9" s="6"/>
    </row>
    <row r="10" spans="1:5" ht="40.5" x14ac:dyDescent="0.25">
      <c r="A10" s="10" t="s">
        <v>90</v>
      </c>
      <c r="B10" s="10" t="s">
        <v>87</v>
      </c>
      <c r="C10" s="10" t="s">
        <v>91</v>
      </c>
      <c r="D10" s="10" t="s">
        <v>85</v>
      </c>
      <c r="E10" s="6"/>
    </row>
    <row r="11" spans="1:5" ht="40.5" x14ac:dyDescent="0.25">
      <c r="A11" s="11" t="s">
        <v>92</v>
      </c>
      <c r="B11" s="11" t="s">
        <v>87</v>
      </c>
      <c r="C11" s="11" t="s">
        <v>93</v>
      </c>
      <c r="D11" s="11" t="s">
        <v>85</v>
      </c>
      <c r="E11" s="6"/>
    </row>
    <row r="12" spans="1:5" x14ac:dyDescent="0.25">
      <c r="A12" s="6"/>
      <c r="B12" s="6"/>
      <c r="C12" s="6"/>
      <c r="D12" s="6"/>
      <c r="E12" s="6"/>
    </row>
  </sheetData>
  <pageMargins left="0.7" right="0.7" top="0.75" bottom="0.75"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A5A5FC-CFFF-40E6-BE30-D75F16ED4C9D}">
  <sheetPr>
    <tabColor rgb="FF475467"/>
  </sheetPr>
  <dimension ref="A1:H996"/>
  <sheetViews>
    <sheetView workbookViewId="0">
      <selection activeCell="A2" sqref="A2:H2"/>
    </sheetView>
  </sheetViews>
  <sheetFormatPr defaultRowHeight="15" x14ac:dyDescent="0.25"/>
  <cols>
    <col min="1" max="1" width="13.5703125" bestFit="1" customWidth="1"/>
    <col min="2" max="2" width="15.5703125" bestFit="1" customWidth="1"/>
    <col min="3" max="3" width="15.42578125" bestFit="1" customWidth="1"/>
    <col min="4" max="4" width="15.140625" bestFit="1" customWidth="1"/>
    <col min="5" max="5" width="11.7109375" bestFit="1" customWidth="1"/>
    <col min="6" max="6" width="73.85546875" bestFit="1" customWidth="1"/>
    <col min="7" max="7" width="10.42578125" bestFit="1" customWidth="1"/>
    <col min="8" max="8" width="9.42578125" bestFit="1" customWidth="1"/>
  </cols>
  <sheetData>
    <row r="1" spans="1:8" x14ac:dyDescent="0.25">
      <c r="A1" t="s">
        <v>394</v>
      </c>
      <c r="B1" t="s">
        <v>395</v>
      </c>
      <c r="C1" t="s">
        <v>396</v>
      </c>
      <c r="D1" t="s">
        <v>397</v>
      </c>
      <c r="E1" t="s">
        <v>369</v>
      </c>
      <c r="F1" t="s">
        <v>398</v>
      </c>
      <c r="G1" t="s">
        <v>399</v>
      </c>
      <c r="H1" t="s">
        <v>400</v>
      </c>
    </row>
    <row r="2" spans="1:8" x14ac:dyDescent="0.25">
      <c r="A2" t="s">
        <v>343</v>
      </c>
      <c r="B2" s="22">
        <v>46260.618055555598</v>
      </c>
      <c r="C2" t="s">
        <v>344</v>
      </c>
      <c r="D2" t="s">
        <v>345</v>
      </c>
      <c r="E2" t="s">
        <v>1121</v>
      </c>
      <c r="F2" t="s">
        <v>346</v>
      </c>
      <c r="G2" t="s">
        <v>347</v>
      </c>
      <c r="H2" t="s">
        <v>348</v>
      </c>
    </row>
    <row r="3" spans="1:8" x14ac:dyDescent="0.25">
      <c r="A3" t="s">
        <v>349</v>
      </c>
      <c r="B3" s="22">
        <v>46260.618055555598</v>
      </c>
      <c r="C3" t="s">
        <v>350</v>
      </c>
      <c r="D3" t="s">
        <v>351</v>
      </c>
      <c r="E3" t="s">
        <v>1121</v>
      </c>
      <c r="F3" t="s">
        <v>352</v>
      </c>
      <c r="G3" t="s">
        <v>347</v>
      </c>
      <c r="H3" t="s">
        <v>348</v>
      </c>
    </row>
    <row r="4" spans="1:8" x14ac:dyDescent="0.25">
      <c r="A4" t="s">
        <v>353</v>
      </c>
      <c r="B4" s="22">
        <v>46260.618055555598</v>
      </c>
      <c r="C4" t="s">
        <v>354</v>
      </c>
      <c r="D4" t="s">
        <v>9</v>
      </c>
      <c r="E4" t="s">
        <v>1121</v>
      </c>
      <c r="F4" t="s">
        <v>355</v>
      </c>
      <c r="G4" t="s">
        <v>347</v>
      </c>
      <c r="H4" t="s">
        <v>348</v>
      </c>
    </row>
    <row r="5" spans="1:8" x14ac:dyDescent="0.25">
      <c r="A5" t="s">
        <v>356</v>
      </c>
      <c r="B5" s="22">
        <v>46260.618055555598</v>
      </c>
      <c r="C5" t="s">
        <v>357</v>
      </c>
      <c r="D5" t="s">
        <v>358</v>
      </c>
      <c r="E5" t="s">
        <v>1121</v>
      </c>
      <c r="F5" t="s">
        <v>359</v>
      </c>
      <c r="G5" t="s">
        <v>347</v>
      </c>
      <c r="H5" t="s">
        <v>348</v>
      </c>
    </row>
    <row r="10" spans="1:8" x14ac:dyDescent="0.25">
      <c r="B10" s="22"/>
    </row>
    <row r="11" spans="1:8" x14ac:dyDescent="0.25">
      <c r="B11" s="22"/>
    </row>
    <row r="12" spans="1:8" x14ac:dyDescent="0.25">
      <c r="B12" s="22"/>
    </row>
    <row r="13" spans="1:8" x14ac:dyDescent="0.25">
      <c r="B13" s="22"/>
    </row>
    <row r="14" spans="1:8" x14ac:dyDescent="0.25">
      <c r="B14" s="22"/>
    </row>
    <row r="15" spans="1:8" x14ac:dyDescent="0.25">
      <c r="B15" s="22"/>
    </row>
    <row r="16" spans="1:8" x14ac:dyDescent="0.25">
      <c r="B16" s="22"/>
    </row>
    <row r="17" spans="2:2" x14ac:dyDescent="0.25">
      <c r="B17" s="22"/>
    </row>
    <row r="18" spans="2:2" x14ac:dyDescent="0.25">
      <c r="B18" s="22"/>
    </row>
    <row r="19" spans="2:2" x14ac:dyDescent="0.25">
      <c r="B19" s="22"/>
    </row>
    <row r="20" spans="2:2" x14ac:dyDescent="0.25">
      <c r="B20" s="22"/>
    </row>
    <row r="21" spans="2:2" x14ac:dyDescent="0.25">
      <c r="B21" s="22"/>
    </row>
    <row r="22" spans="2:2" x14ac:dyDescent="0.25">
      <c r="B22" s="22"/>
    </row>
    <row r="23" spans="2:2" x14ac:dyDescent="0.25">
      <c r="B23" s="22"/>
    </row>
    <row r="24" spans="2:2" x14ac:dyDescent="0.25">
      <c r="B24" s="22"/>
    </row>
    <row r="25" spans="2:2" x14ac:dyDescent="0.25">
      <c r="B25" s="22"/>
    </row>
    <row r="26" spans="2:2" x14ac:dyDescent="0.25">
      <c r="B26" s="22"/>
    </row>
    <row r="27" spans="2:2" x14ac:dyDescent="0.25">
      <c r="B27" s="22"/>
    </row>
    <row r="28" spans="2:2" x14ac:dyDescent="0.25">
      <c r="B28" s="22"/>
    </row>
    <row r="29" spans="2:2" x14ac:dyDescent="0.25">
      <c r="B29" s="22"/>
    </row>
    <row r="30" spans="2:2" x14ac:dyDescent="0.25">
      <c r="B30" s="22"/>
    </row>
    <row r="31" spans="2:2" x14ac:dyDescent="0.25">
      <c r="B31" s="22"/>
    </row>
    <row r="32" spans="2:2" x14ac:dyDescent="0.25">
      <c r="B32" s="22"/>
    </row>
    <row r="33" spans="2:2" x14ac:dyDescent="0.25">
      <c r="B33" s="22"/>
    </row>
    <row r="34" spans="2:2" x14ac:dyDescent="0.25">
      <c r="B34" s="22"/>
    </row>
    <row r="35" spans="2:2" x14ac:dyDescent="0.25">
      <c r="B35" s="22"/>
    </row>
    <row r="36" spans="2:2" x14ac:dyDescent="0.25">
      <c r="B36" s="22"/>
    </row>
    <row r="37" spans="2:2" x14ac:dyDescent="0.25">
      <c r="B37" s="22"/>
    </row>
    <row r="38" spans="2:2" x14ac:dyDescent="0.25">
      <c r="B38" s="22"/>
    </row>
    <row r="39" spans="2:2" x14ac:dyDescent="0.25">
      <c r="B39" s="22"/>
    </row>
    <row r="40" spans="2:2" x14ac:dyDescent="0.25">
      <c r="B40" s="22"/>
    </row>
    <row r="41" spans="2:2" x14ac:dyDescent="0.25">
      <c r="B41" s="22"/>
    </row>
    <row r="42" spans="2:2" x14ac:dyDescent="0.25">
      <c r="B42" s="22"/>
    </row>
    <row r="43" spans="2:2" x14ac:dyDescent="0.25">
      <c r="B43" s="22"/>
    </row>
    <row r="44" spans="2:2" x14ac:dyDescent="0.25">
      <c r="B44" s="22"/>
    </row>
    <row r="45" spans="2:2" x14ac:dyDescent="0.25">
      <c r="B45" s="22"/>
    </row>
    <row r="46" spans="2:2" x14ac:dyDescent="0.25">
      <c r="B46" s="22"/>
    </row>
    <row r="47" spans="2:2" x14ac:dyDescent="0.25">
      <c r="B47" s="22"/>
    </row>
    <row r="48" spans="2:2" x14ac:dyDescent="0.25">
      <c r="B48" s="22"/>
    </row>
    <row r="49" spans="2:2" x14ac:dyDescent="0.25">
      <c r="B49" s="22"/>
    </row>
    <row r="50" spans="2:2" x14ac:dyDescent="0.25">
      <c r="B50" s="22"/>
    </row>
    <row r="51" spans="2:2" x14ac:dyDescent="0.25">
      <c r="B51" s="22"/>
    </row>
    <row r="52" spans="2:2" x14ac:dyDescent="0.25">
      <c r="B52" s="22"/>
    </row>
    <row r="53" spans="2:2" x14ac:dyDescent="0.25">
      <c r="B53" s="22"/>
    </row>
    <row r="54" spans="2:2" x14ac:dyDescent="0.25">
      <c r="B54" s="22"/>
    </row>
    <row r="55" spans="2:2" x14ac:dyDescent="0.25">
      <c r="B55" s="22"/>
    </row>
    <row r="56" spans="2:2" x14ac:dyDescent="0.25">
      <c r="B56" s="22"/>
    </row>
    <row r="57" spans="2:2" x14ac:dyDescent="0.25">
      <c r="B57" s="22"/>
    </row>
    <row r="58" spans="2:2" x14ac:dyDescent="0.25">
      <c r="B58" s="22"/>
    </row>
    <row r="59" spans="2:2" x14ac:dyDescent="0.25">
      <c r="B59" s="22"/>
    </row>
    <row r="60" spans="2:2" x14ac:dyDescent="0.25">
      <c r="B60" s="22"/>
    </row>
    <row r="61" spans="2:2" x14ac:dyDescent="0.25">
      <c r="B61" s="22"/>
    </row>
    <row r="62" spans="2:2" x14ac:dyDescent="0.25">
      <c r="B62" s="22"/>
    </row>
    <row r="63" spans="2:2" x14ac:dyDescent="0.25">
      <c r="B63" s="22"/>
    </row>
    <row r="64" spans="2:2" x14ac:dyDescent="0.25">
      <c r="B64" s="22"/>
    </row>
    <row r="65" spans="2:2" x14ac:dyDescent="0.25">
      <c r="B65" s="22"/>
    </row>
    <row r="66" spans="2:2" x14ac:dyDescent="0.25">
      <c r="B66" s="22"/>
    </row>
    <row r="67" spans="2:2" x14ac:dyDescent="0.25">
      <c r="B67" s="22"/>
    </row>
    <row r="68" spans="2:2" x14ac:dyDescent="0.25">
      <c r="B68" s="22"/>
    </row>
    <row r="69" spans="2:2" x14ac:dyDescent="0.25">
      <c r="B69" s="22"/>
    </row>
    <row r="70" spans="2:2" x14ac:dyDescent="0.25">
      <c r="B70" s="22"/>
    </row>
    <row r="71" spans="2:2" x14ac:dyDescent="0.25">
      <c r="B71" s="22"/>
    </row>
    <row r="72" spans="2:2" x14ac:dyDescent="0.25">
      <c r="B72" s="22"/>
    </row>
    <row r="73" spans="2:2" x14ac:dyDescent="0.25">
      <c r="B73" s="22"/>
    </row>
    <row r="74" spans="2:2" x14ac:dyDescent="0.25">
      <c r="B74" s="22"/>
    </row>
    <row r="75" spans="2:2" x14ac:dyDescent="0.25">
      <c r="B75" s="22"/>
    </row>
    <row r="76" spans="2:2" x14ac:dyDescent="0.25">
      <c r="B76" s="22"/>
    </row>
    <row r="77" spans="2:2" x14ac:dyDescent="0.25">
      <c r="B77" s="22"/>
    </row>
    <row r="78" spans="2:2" x14ac:dyDescent="0.25">
      <c r="B78" s="22"/>
    </row>
    <row r="79" spans="2:2" x14ac:dyDescent="0.25">
      <c r="B79" s="22"/>
    </row>
    <row r="80" spans="2:2" x14ac:dyDescent="0.25">
      <c r="B80" s="22"/>
    </row>
    <row r="81" spans="2:2" x14ac:dyDescent="0.25">
      <c r="B81" s="22"/>
    </row>
    <row r="82" spans="2:2" x14ac:dyDescent="0.25">
      <c r="B82" s="22"/>
    </row>
    <row r="83" spans="2:2" x14ac:dyDescent="0.25">
      <c r="B83" s="22"/>
    </row>
    <row r="84" spans="2:2" x14ac:dyDescent="0.25">
      <c r="B84" s="22"/>
    </row>
    <row r="85" spans="2:2" x14ac:dyDescent="0.25">
      <c r="B85" s="22"/>
    </row>
    <row r="86" spans="2:2" x14ac:dyDescent="0.25">
      <c r="B86" s="22"/>
    </row>
    <row r="87" spans="2:2" x14ac:dyDescent="0.25">
      <c r="B87" s="22"/>
    </row>
    <row r="88" spans="2:2" x14ac:dyDescent="0.25">
      <c r="B88" s="22"/>
    </row>
    <row r="89" spans="2:2" x14ac:dyDescent="0.25">
      <c r="B89" s="22"/>
    </row>
    <row r="90" spans="2:2" x14ac:dyDescent="0.25">
      <c r="B90" s="22"/>
    </row>
    <row r="91" spans="2:2" x14ac:dyDescent="0.25">
      <c r="B91" s="22"/>
    </row>
    <row r="92" spans="2:2" x14ac:dyDescent="0.25">
      <c r="B92" s="22"/>
    </row>
    <row r="93" spans="2:2" x14ac:dyDescent="0.25">
      <c r="B93" s="22"/>
    </row>
    <row r="94" spans="2:2" x14ac:dyDescent="0.25">
      <c r="B94" s="22"/>
    </row>
    <row r="95" spans="2:2" x14ac:dyDescent="0.25">
      <c r="B95" s="22"/>
    </row>
    <row r="96" spans="2:2" x14ac:dyDescent="0.25">
      <c r="B96" s="22"/>
    </row>
    <row r="97" spans="2:2" x14ac:dyDescent="0.25">
      <c r="B97" s="22"/>
    </row>
    <row r="98" spans="2:2" x14ac:dyDescent="0.25">
      <c r="B98" s="22"/>
    </row>
    <row r="99" spans="2:2" x14ac:dyDescent="0.25">
      <c r="B99" s="22"/>
    </row>
    <row r="100" spans="2:2" x14ac:dyDescent="0.25">
      <c r="B100" s="22"/>
    </row>
    <row r="101" spans="2:2" x14ac:dyDescent="0.25">
      <c r="B101" s="22"/>
    </row>
    <row r="102" spans="2:2" x14ac:dyDescent="0.25">
      <c r="B102" s="22"/>
    </row>
    <row r="103" spans="2:2" x14ac:dyDescent="0.25">
      <c r="B103" s="22"/>
    </row>
    <row r="104" spans="2:2" x14ac:dyDescent="0.25">
      <c r="B104" s="22"/>
    </row>
    <row r="105" spans="2:2" x14ac:dyDescent="0.25">
      <c r="B105" s="22"/>
    </row>
    <row r="106" spans="2:2" x14ac:dyDescent="0.25">
      <c r="B106" s="22"/>
    </row>
    <row r="107" spans="2:2" x14ac:dyDescent="0.25">
      <c r="B107" s="22"/>
    </row>
    <row r="108" spans="2:2" x14ac:dyDescent="0.25">
      <c r="B108" s="22"/>
    </row>
    <row r="109" spans="2:2" x14ac:dyDescent="0.25">
      <c r="B109" s="22"/>
    </row>
    <row r="110" spans="2:2" x14ac:dyDescent="0.25">
      <c r="B110" s="22"/>
    </row>
    <row r="111" spans="2:2" x14ac:dyDescent="0.25">
      <c r="B111" s="22"/>
    </row>
    <row r="112" spans="2:2" x14ac:dyDescent="0.25">
      <c r="B112" s="22"/>
    </row>
    <row r="113" spans="2:2" x14ac:dyDescent="0.25">
      <c r="B113" s="22"/>
    </row>
    <row r="114" spans="2:2" x14ac:dyDescent="0.25">
      <c r="B114" s="22"/>
    </row>
    <row r="115" spans="2:2" x14ac:dyDescent="0.25">
      <c r="B115" s="22"/>
    </row>
    <row r="116" spans="2:2" x14ac:dyDescent="0.25">
      <c r="B116" s="22"/>
    </row>
    <row r="117" spans="2:2" x14ac:dyDescent="0.25">
      <c r="B117" s="22"/>
    </row>
    <row r="118" spans="2:2" x14ac:dyDescent="0.25">
      <c r="B118" s="22"/>
    </row>
    <row r="119" spans="2:2" x14ac:dyDescent="0.25">
      <c r="B119" s="22"/>
    </row>
    <row r="120" spans="2:2" x14ac:dyDescent="0.25">
      <c r="B120" s="22"/>
    </row>
    <row r="121" spans="2:2" x14ac:dyDescent="0.25">
      <c r="B121" s="22"/>
    </row>
    <row r="122" spans="2:2" x14ac:dyDescent="0.25">
      <c r="B122" s="22"/>
    </row>
    <row r="123" spans="2:2" x14ac:dyDescent="0.25">
      <c r="B123" s="22"/>
    </row>
    <row r="124" spans="2:2" x14ac:dyDescent="0.25">
      <c r="B124" s="22"/>
    </row>
    <row r="125" spans="2:2" x14ac:dyDescent="0.25">
      <c r="B125" s="22"/>
    </row>
    <row r="126" spans="2:2" x14ac:dyDescent="0.25">
      <c r="B126" s="22"/>
    </row>
    <row r="127" spans="2:2" x14ac:dyDescent="0.25">
      <c r="B127" s="22"/>
    </row>
    <row r="128" spans="2:2" x14ac:dyDescent="0.25">
      <c r="B128" s="22"/>
    </row>
    <row r="129" spans="2:2" x14ac:dyDescent="0.25">
      <c r="B129" s="22"/>
    </row>
    <row r="130" spans="2:2" x14ac:dyDescent="0.25">
      <c r="B130" s="22"/>
    </row>
    <row r="131" spans="2:2" x14ac:dyDescent="0.25">
      <c r="B131" s="22"/>
    </row>
    <row r="132" spans="2:2" x14ac:dyDescent="0.25">
      <c r="B132" s="22"/>
    </row>
    <row r="133" spans="2:2" x14ac:dyDescent="0.25">
      <c r="B133" s="22"/>
    </row>
    <row r="134" spans="2:2" x14ac:dyDescent="0.25">
      <c r="B134" s="22"/>
    </row>
    <row r="135" spans="2:2" x14ac:dyDescent="0.25">
      <c r="B135" s="22"/>
    </row>
    <row r="136" spans="2:2" x14ac:dyDescent="0.25">
      <c r="B136" s="22"/>
    </row>
    <row r="137" spans="2:2" x14ac:dyDescent="0.25">
      <c r="B137" s="22"/>
    </row>
    <row r="138" spans="2:2" x14ac:dyDescent="0.25">
      <c r="B138" s="22"/>
    </row>
    <row r="139" spans="2:2" x14ac:dyDescent="0.25">
      <c r="B139" s="22"/>
    </row>
    <row r="140" spans="2:2" x14ac:dyDescent="0.25">
      <c r="B140" s="22"/>
    </row>
    <row r="141" spans="2:2" x14ac:dyDescent="0.25">
      <c r="B141" s="22"/>
    </row>
    <row r="142" spans="2:2" x14ac:dyDescent="0.25">
      <c r="B142" s="22"/>
    </row>
    <row r="143" spans="2:2" x14ac:dyDescent="0.25">
      <c r="B143" s="22"/>
    </row>
    <row r="144" spans="2:2" x14ac:dyDescent="0.25">
      <c r="B144" s="22"/>
    </row>
    <row r="145" spans="2:2" x14ac:dyDescent="0.25">
      <c r="B145" s="22"/>
    </row>
    <row r="146" spans="2:2" x14ac:dyDescent="0.25">
      <c r="B146" s="22"/>
    </row>
    <row r="147" spans="2:2" x14ac:dyDescent="0.25">
      <c r="B147" s="22"/>
    </row>
    <row r="148" spans="2:2" x14ac:dyDescent="0.25">
      <c r="B148" s="22"/>
    </row>
    <row r="149" spans="2:2" x14ac:dyDescent="0.25">
      <c r="B149" s="22"/>
    </row>
    <row r="150" spans="2:2" x14ac:dyDescent="0.25">
      <c r="B150" s="22"/>
    </row>
    <row r="151" spans="2:2" x14ac:dyDescent="0.25">
      <c r="B151" s="22"/>
    </row>
    <row r="152" spans="2:2" x14ac:dyDescent="0.25">
      <c r="B152" s="22"/>
    </row>
    <row r="153" spans="2:2" x14ac:dyDescent="0.25">
      <c r="B153" s="22"/>
    </row>
    <row r="154" spans="2:2" x14ac:dyDescent="0.25">
      <c r="B154" s="22"/>
    </row>
    <row r="155" spans="2:2" x14ac:dyDescent="0.25">
      <c r="B155" s="22"/>
    </row>
    <row r="156" spans="2:2" x14ac:dyDescent="0.25">
      <c r="B156" s="22"/>
    </row>
    <row r="157" spans="2:2" x14ac:dyDescent="0.25">
      <c r="B157" s="22"/>
    </row>
    <row r="158" spans="2:2" x14ac:dyDescent="0.25">
      <c r="B158" s="22"/>
    </row>
    <row r="159" spans="2:2" x14ac:dyDescent="0.25">
      <c r="B159" s="22"/>
    </row>
    <row r="160" spans="2:2" x14ac:dyDescent="0.25">
      <c r="B160" s="22"/>
    </row>
    <row r="161" spans="2:2" x14ac:dyDescent="0.25">
      <c r="B161" s="22"/>
    </row>
    <row r="162" spans="2:2" x14ac:dyDescent="0.25">
      <c r="B162" s="22"/>
    </row>
    <row r="163" spans="2:2" x14ac:dyDescent="0.25">
      <c r="B163" s="22"/>
    </row>
    <row r="164" spans="2:2" x14ac:dyDescent="0.25">
      <c r="B164" s="22"/>
    </row>
    <row r="165" spans="2:2" x14ac:dyDescent="0.25">
      <c r="B165" s="22"/>
    </row>
    <row r="166" spans="2:2" x14ac:dyDescent="0.25">
      <c r="B166" s="22"/>
    </row>
    <row r="167" spans="2:2" x14ac:dyDescent="0.25">
      <c r="B167" s="22"/>
    </row>
    <row r="168" spans="2:2" x14ac:dyDescent="0.25">
      <c r="B168" s="22"/>
    </row>
    <row r="169" spans="2:2" x14ac:dyDescent="0.25">
      <c r="B169" s="22"/>
    </row>
    <row r="170" spans="2:2" x14ac:dyDescent="0.25">
      <c r="B170" s="22"/>
    </row>
    <row r="171" spans="2:2" x14ac:dyDescent="0.25">
      <c r="B171" s="22"/>
    </row>
    <row r="172" spans="2:2" x14ac:dyDescent="0.25">
      <c r="B172" s="22"/>
    </row>
    <row r="173" spans="2:2" x14ac:dyDescent="0.25">
      <c r="B173" s="22"/>
    </row>
    <row r="174" spans="2:2" x14ac:dyDescent="0.25">
      <c r="B174" s="22"/>
    </row>
    <row r="175" spans="2:2" x14ac:dyDescent="0.25">
      <c r="B175" s="22"/>
    </row>
    <row r="176" spans="2:2" x14ac:dyDescent="0.25">
      <c r="B176" s="22"/>
    </row>
    <row r="177" spans="2:2" x14ac:dyDescent="0.25">
      <c r="B177" s="22"/>
    </row>
    <row r="178" spans="2:2" x14ac:dyDescent="0.25">
      <c r="B178" s="22"/>
    </row>
    <row r="179" spans="2:2" x14ac:dyDescent="0.25">
      <c r="B179" s="22"/>
    </row>
    <row r="180" spans="2:2" x14ac:dyDescent="0.25">
      <c r="B180" s="22"/>
    </row>
    <row r="181" spans="2:2" x14ac:dyDescent="0.25">
      <c r="B181" s="22"/>
    </row>
    <row r="182" spans="2:2" x14ac:dyDescent="0.25">
      <c r="B182" s="22"/>
    </row>
    <row r="183" spans="2:2" x14ac:dyDescent="0.25">
      <c r="B183" s="22"/>
    </row>
    <row r="184" spans="2:2" x14ac:dyDescent="0.25">
      <c r="B184" s="22"/>
    </row>
    <row r="185" spans="2:2" x14ac:dyDescent="0.25">
      <c r="B185" s="22"/>
    </row>
    <row r="186" spans="2:2" x14ac:dyDescent="0.25">
      <c r="B186" s="22"/>
    </row>
    <row r="187" spans="2:2" x14ac:dyDescent="0.25">
      <c r="B187" s="22"/>
    </row>
    <row r="188" spans="2:2" x14ac:dyDescent="0.25">
      <c r="B188" s="22"/>
    </row>
    <row r="189" spans="2:2" x14ac:dyDescent="0.25">
      <c r="B189" s="22"/>
    </row>
    <row r="190" spans="2:2" x14ac:dyDescent="0.25">
      <c r="B190" s="22"/>
    </row>
    <row r="191" spans="2:2" x14ac:dyDescent="0.25">
      <c r="B191" s="22"/>
    </row>
    <row r="192" spans="2:2" x14ac:dyDescent="0.25">
      <c r="B192" s="22"/>
    </row>
    <row r="193" spans="2:2" x14ac:dyDescent="0.25">
      <c r="B193" s="22"/>
    </row>
    <row r="194" spans="2:2" x14ac:dyDescent="0.25">
      <c r="B194" s="22"/>
    </row>
    <row r="195" spans="2:2" x14ac:dyDescent="0.25">
      <c r="B195" s="22"/>
    </row>
    <row r="196" spans="2:2" x14ac:dyDescent="0.25">
      <c r="B196" s="22"/>
    </row>
    <row r="197" spans="2:2" x14ac:dyDescent="0.25">
      <c r="B197" s="22"/>
    </row>
    <row r="198" spans="2:2" x14ac:dyDescent="0.25">
      <c r="B198" s="22"/>
    </row>
    <row r="199" spans="2:2" x14ac:dyDescent="0.25">
      <c r="B199" s="22"/>
    </row>
    <row r="200" spans="2:2" x14ac:dyDescent="0.25">
      <c r="B200" s="22"/>
    </row>
    <row r="201" spans="2:2" x14ac:dyDescent="0.25">
      <c r="B201" s="22"/>
    </row>
    <row r="202" spans="2:2" x14ac:dyDescent="0.25">
      <c r="B202" s="22"/>
    </row>
    <row r="203" spans="2:2" x14ac:dyDescent="0.25">
      <c r="B203" s="22"/>
    </row>
    <row r="204" spans="2:2" x14ac:dyDescent="0.25">
      <c r="B204" s="22"/>
    </row>
    <row r="205" spans="2:2" x14ac:dyDescent="0.25">
      <c r="B205" s="22"/>
    </row>
    <row r="206" spans="2:2" x14ac:dyDescent="0.25">
      <c r="B206" s="22"/>
    </row>
    <row r="207" spans="2:2" x14ac:dyDescent="0.25">
      <c r="B207" s="22"/>
    </row>
    <row r="208" spans="2:2" x14ac:dyDescent="0.25">
      <c r="B208" s="22"/>
    </row>
    <row r="209" spans="2:2" x14ac:dyDescent="0.25">
      <c r="B209" s="22"/>
    </row>
    <row r="210" spans="2:2" x14ac:dyDescent="0.25">
      <c r="B210" s="22"/>
    </row>
    <row r="211" spans="2:2" x14ac:dyDescent="0.25">
      <c r="B211" s="22"/>
    </row>
    <row r="212" spans="2:2" x14ac:dyDescent="0.25">
      <c r="B212" s="22"/>
    </row>
    <row r="213" spans="2:2" x14ac:dyDescent="0.25">
      <c r="B213" s="22"/>
    </row>
    <row r="214" spans="2:2" x14ac:dyDescent="0.25">
      <c r="B214" s="22"/>
    </row>
    <row r="215" spans="2:2" x14ac:dyDescent="0.25">
      <c r="B215" s="22"/>
    </row>
    <row r="216" spans="2:2" x14ac:dyDescent="0.25">
      <c r="B216" s="22"/>
    </row>
    <row r="217" spans="2:2" x14ac:dyDescent="0.25">
      <c r="B217" s="22"/>
    </row>
    <row r="218" spans="2:2" x14ac:dyDescent="0.25">
      <c r="B218" s="22"/>
    </row>
    <row r="219" spans="2:2" x14ac:dyDescent="0.25">
      <c r="B219" s="22"/>
    </row>
    <row r="220" spans="2:2" x14ac:dyDescent="0.25">
      <c r="B220" s="22"/>
    </row>
    <row r="221" spans="2:2" x14ac:dyDescent="0.25">
      <c r="B221" s="22"/>
    </row>
    <row r="222" spans="2:2" x14ac:dyDescent="0.25">
      <c r="B222" s="22"/>
    </row>
    <row r="223" spans="2:2" x14ac:dyDescent="0.25">
      <c r="B223" s="22"/>
    </row>
    <row r="224" spans="2:2" x14ac:dyDescent="0.25">
      <c r="B224" s="22"/>
    </row>
    <row r="225" spans="2:2" x14ac:dyDescent="0.25">
      <c r="B225" s="22"/>
    </row>
    <row r="226" spans="2:2" x14ac:dyDescent="0.25">
      <c r="B226" s="22"/>
    </row>
    <row r="227" spans="2:2" x14ac:dyDescent="0.25">
      <c r="B227" s="22"/>
    </row>
    <row r="228" spans="2:2" x14ac:dyDescent="0.25">
      <c r="B228" s="22"/>
    </row>
    <row r="229" spans="2:2" x14ac:dyDescent="0.25">
      <c r="B229" s="22"/>
    </row>
    <row r="230" spans="2:2" x14ac:dyDescent="0.25">
      <c r="B230" s="22"/>
    </row>
    <row r="231" spans="2:2" x14ac:dyDescent="0.25">
      <c r="B231" s="22"/>
    </row>
    <row r="232" spans="2:2" x14ac:dyDescent="0.25">
      <c r="B232" s="22"/>
    </row>
    <row r="233" spans="2:2" x14ac:dyDescent="0.25">
      <c r="B233" s="22"/>
    </row>
    <row r="234" spans="2:2" x14ac:dyDescent="0.25">
      <c r="B234" s="22"/>
    </row>
    <row r="235" spans="2:2" x14ac:dyDescent="0.25">
      <c r="B235" s="22"/>
    </row>
    <row r="236" spans="2:2" x14ac:dyDescent="0.25">
      <c r="B236" s="22"/>
    </row>
    <row r="237" spans="2:2" x14ac:dyDescent="0.25">
      <c r="B237" s="22"/>
    </row>
    <row r="238" spans="2:2" x14ac:dyDescent="0.25">
      <c r="B238" s="22"/>
    </row>
    <row r="239" spans="2:2" x14ac:dyDescent="0.25">
      <c r="B239" s="22"/>
    </row>
    <row r="240" spans="2:2" x14ac:dyDescent="0.25">
      <c r="B240" s="22"/>
    </row>
    <row r="241" spans="2:2" x14ac:dyDescent="0.25">
      <c r="B241" s="22"/>
    </row>
    <row r="242" spans="2:2" x14ac:dyDescent="0.25">
      <c r="B242" s="22"/>
    </row>
    <row r="243" spans="2:2" x14ac:dyDescent="0.25">
      <c r="B243" s="22"/>
    </row>
    <row r="244" spans="2:2" x14ac:dyDescent="0.25">
      <c r="B244" s="22"/>
    </row>
    <row r="245" spans="2:2" x14ac:dyDescent="0.25">
      <c r="B245" s="22"/>
    </row>
    <row r="246" spans="2:2" x14ac:dyDescent="0.25">
      <c r="B246" s="22"/>
    </row>
    <row r="247" spans="2:2" x14ac:dyDescent="0.25">
      <c r="B247" s="22"/>
    </row>
    <row r="248" spans="2:2" x14ac:dyDescent="0.25">
      <c r="B248" s="22"/>
    </row>
    <row r="249" spans="2:2" x14ac:dyDescent="0.25">
      <c r="B249" s="22"/>
    </row>
    <row r="250" spans="2:2" x14ac:dyDescent="0.25">
      <c r="B250" s="22"/>
    </row>
    <row r="251" spans="2:2" x14ac:dyDescent="0.25">
      <c r="B251" s="22"/>
    </row>
    <row r="252" spans="2:2" x14ac:dyDescent="0.25">
      <c r="B252" s="22"/>
    </row>
    <row r="253" spans="2:2" x14ac:dyDescent="0.25">
      <c r="B253" s="22"/>
    </row>
    <row r="254" spans="2:2" x14ac:dyDescent="0.25">
      <c r="B254" s="22"/>
    </row>
    <row r="255" spans="2:2" x14ac:dyDescent="0.25">
      <c r="B255" s="22"/>
    </row>
    <row r="256" spans="2:2" x14ac:dyDescent="0.25">
      <c r="B256" s="22"/>
    </row>
    <row r="257" spans="2:2" x14ac:dyDescent="0.25">
      <c r="B257" s="22"/>
    </row>
    <row r="258" spans="2:2" x14ac:dyDescent="0.25">
      <c r="B258" s="22"/>
    </row>
    <row r="259" spans="2:2" x14ac:dyDescent="0.25">
      <c r="B259" s="22"/>
    </row>
    <row r="260" spans="2:2" x14ac:dyDescent="0.25">
      <c r="B260" s="22"/>
    </row>
    <row r="261" spans="2:2" x14ac:dyDescent="0.25">
      <c r="B261" s="22"/>
    </row>
    <row r="262" spans="2:2" x14ac:dyDescent="0.25">
      <c r="B262" s="22"/>
    </row>
    <row r="263" spans="2:2" x14ac:dyDescent="0.25">
      <c r="B263" s="22"/>
    </row>
    <row r="264" spans="2:2" x14ac:dyDescent="0.25">
      <c r="B264" s="22"/>
    </row>
    <row r="265" spans="2:2" x14ac:dyDescent="0.25">
      <c r="B265" s="22"/>
    </row>
    <row r="266" spans="2:2" x14ac:dyDescent="0.25">
      <c r="B266" s="22"/>
    </row>
    <row r="267" spans="2:2" x14ac:dyDescent="0.25">
      <c r="B267" s="22"/>
    </row>
    <row r="268" spans="2:2" x14ac:dyDescent="0.25">
      <c r="B268" s="22"/>
    </row>
    <row r="269" spans="2:2" x14ac:dyDescent="0.25">
      <c r="B269" s="22"/>
    </row>
    <row r="270" spans="2:2" x14ac:dyDescent="0.25">
      <c r="B270" s="22"/>
    </row>
    <row r="271" spans="2:2" x14ac:dyDescent="0.25">
      <c r="B271" s="22"/>
    </row>
    <row r="272" spans="2:2" x14ac:dyDescent="0.25">
      <c r="B272" s="22"/>
    </row>
    <row r="273" spans="2:2" x14ac:dyDescent="0.25">
      <c r="B273" s="22"/>
    </row>
    <row r="274" spans="2:2" x14ac:dyDescent="0.25">
      <c r="B274" s="22"/>
    </row>
    <row r="275" spans="2:2" x14ac:dyDescent="0.25">
      <c r="B275" s="22"/>
    </row>
    <row r="276" spans="2:2" x14ac:dyDescent="0.25">
      <c r="B276" s="22"/>
    </row>
    <row r="277" spans="2:2" x14ac:dyDescent="0.25">
      <c r="B277" s="22"/>
    </row>
    <row r="278" spans="2:2" x14ac:dyDescent="0.25">
      <c r="B278" s="22"/>
    </row>
    <row r="279" spans="2:2" x14ac:dyDescent="0.25">
      <c r="B279" s="22"/>
    </row>
    <row r="280" spans="2:2" x14ac:dyDescent="0.25">
      <c r="B280" s="22"/>
    </row>
    <row r="281" spans="2:2" x14ac:dyDescent="0.25">
      <c r="B281" s="22"/>
    </row>
    <row r="282" spans="2:2" x14ac:dyDescent="0.25">
      <c r="B282" s="22"/>
    </row>
    <row r="283" spans="2:2" x14ac:dyDescent="0.25">
      <c r="B283" s="22"/>
    </row>
    <row r="284" spans="2:2" x14ac:dyDescent="0.25">
      <c r="B284" s="22"/>
    </row>
    <row r="285" spans="2:2" x14ac:dyDescent="0.25">
      <c r="B285" s="22"/>
    </row>
    <row r="286" spans="2:2" x14ac:dyDescent="0.25">
      <c r="B286" s="22"/>
    </row>
    <row r="287" spans="2:2" x14ac:dyDescent="0.25">
      <c r="B287" s="22"/>
    </row>
    <row r="288" spans="2:2" x14ac:dyDescent="0.25">
      <c r="B288" s="22"/>
    </row>
    <row r="289" spans="2:2" x14ac:dyDescent="0.25">
      <c r="B289" s="22"/>
    </row>
    <row r="290" spans="2:2" x14ac:dyDescent="0.25">
      <c r="B290" s="22"/>
    </row>
    <row r="291" spans="2:2" x14ac:dyDescent="0.25">
      <c r="B291" s="22"/>
    </row>
    <row r="292" spans="2:2" x14ac:dyDescent="0.25">
      <c r="B292" s="22"/>
    </row>
    <row r="293" spans="2:2" x14ac:dyDescent="0.25">
      <c r="B293" s="22"/>
    </row>
    <row r="294" spans="2:2" x14ac:dyDescent="0.25">
      <c r="B294" s="22"/>
    </row>
    <row r="295" spans="2:2" x14ac:dyDescent="0.25">
      <c r="B295" s="22"/>
    </row>
    <row r="296" spans="2:2" x14ac:dyDescent="0.25">
      <c r="B296" s="22"/>
    </row>
    <row r="297" spans="2:2" x14ac:dyDescent="0.25">
      <c r="B297" s="22"/>
    </row>
    <row r="298" spans="2:2" x14ac:dyDescent="0.25">
      <c r="B298" s="22"/>
    </row>
    <row r="299" spans="2:2" x14ac:dyDescent="0.25">
      <c r="B299" s="22"/>
    </row>
    <row r="300" spans="2:2" x14ac:dyDescent="0.25">
      <c r="B300" s="22"/>
    </row>
    <row r="301" spans="2:2" x14ac:dyDescent="0.25">
      <c r="B301" s="22"/>
    </row>
    <row r="302" spans="2:2" x14ac:dyDescent="0.25">
      <c r="B302" s="22"/>
    </row>
    <row r="303" spans="2:2" x14ac:dyDescent="0.25">
      <c r="B303" s="22"/>
    </row>
    <row r="304" spans="2:2" x14ac:dyDescent="0.25">
      <c r="B304" s="22"/>
    </row>
    <row r="305" spans="2:2" x14ac:dyDescent="0.25">
      <c r="B305" s="22"/>
    </row>
    <row r="306" spans="2:2" x14ac:dyDescent="0.25">
      <c r="B306" s="22"/>
    </row>
    <row r="307" spans="2:2" x14ac:dyDescent="0.25">
      <c r="B307" s="22"/>
    </row>
    <row r="308" spans="2:2" x14ac:dyDescent="0.25">
      <c r="B308" s="22"/>
    </row>
    <row r="309" spans="2:2" x14ac:dyDescent="0.25">
      <c r="B309" s="22"/>
    </row>
    <row r="310" spans="2:2" x14ac:dyDescent="0.25">
      <c r="B310" s="22"/>
    </row>
    <row r="311" spans="2:2" x14ac:dyDescent="0.25">
      <c r="B311" s="22"/>
    </row>
    <row r="312" spans="2:2" x14ac:dyDescent="0.25">
      <c r="B312" s="22"/>
    </row>
    <row r="313" spans="2:2" x14ac:dyDescent="0.25">
      <c r="B313" s="22"/>
    </row>
    <row r="314" spans="2:2" x14ac:dyDescent="0.25">
      <c r="B314" s="22"/>
    </row>
    <row r="315" spans="2:2" x14ac:dyDescent="0.25">
      <c r="B315" s="22"/>
    </row>
    <row r="316" spans="2:2" x14ac:dyDescent="0.25">
      <c r="B316" s="22"/>
    </row>
    <row r="317" spans="2:2" x14ac:dyDescent="0.25">
      <c r="B317" s="22"/>
    </row>
    <row r="318" spans="2:2" x14ac:dyDescent="0.25">
      <c r="B318" s="22"/>
    </row>
    <row r="319" spans="2:2" x14ac:dyDescent="0.25">
      <c r="B319" s="22"/>
    </row>
    <row r="320" spans="2:2" x14ac:dyDescent="0.25">
      <c r="B320" s="22"/>
    </row>
    <row r="321" spans="2:2" x14ac:dyDescent="0.25">
      <c r="B321" s="22"/>
    </row>
    <row r="322" spans="2:2" x14ac:dyDescent="0.25">
      <c r="B322" s="22"/>
    </row>
    <row r="323" spans="2:2" x14ac:dyDescent="0.25">
      <c r="B323" s="22"/>
    </row>
    <row r="324" spans="2:2" x14ac:dyDescent="0.25">
      <c r="B324" s="22"/>
    </row>
    <row r="325" spans="2:2" x14ac:dyDescent="0.25">
      <c r="B325" s="22"/>
    </row>
    <row r="326" spans="2:2" x14ac:dyDescent="0.25">
      <c r="B326" s="22"/>
    </row>
    <row r="327" spans="2:2" x14ac:dyDescent="0.25">
      <c r="B327" s="22"/>
    </row>
    <row r="328" spans="2:2" x14ac:dyDescent="0.25">
      <c r="B328" s="22"/>
    </row>
    <row r="329" spans="2:2" x14ac:dyDescent="0.25">
      <c r="B329" s="22"/>
    </row>
    <row r="330" spans="2:2" x14ac:dyDescent="0.25">
      <c r="B330" s="22"/>
    </row>
    <row r="331" spans="2:2" x14ac:dyDescent="0.25">
      <c r="B331" s="22"/>
    </row>
    <row r="332" spans="2:2" x14ac:dyDescent="0.25">
      <c r="B332" s="22"/>
    </row>
    <row r="333" spans="2:2" x14ac:dyDescent="0.25">
      <c r="B333" s="22"/>
    </row>
    <row r="334" spans="2:2" x14ac:dyDescent="0.25">
      <c r="B334" s="22"/>
    </row>
    <row r="335" spans="2:2" x14ac:dyDescent="0.25">
      <c r="B335" s="22"/>
    </row>
    <row r="336" spans="2:2" x14ac:dyDescent="0.25">
      <c r="B336" s="22"/>
    </row>
    <row r="337" spans="2:2" x14ac:dyDescent="0.25">
      <c r="B337" s="22"/>
    </row>
    <row r="338" spans="2:2" x14ac:dyDescent="0.25">
      <c r="B338" s="22"/>
    </row>
    <row r="339" spans="2:2" x14ac:dyDescent="0.25">
      <c r="B339" s="22"/>
    </row>
    <row r="340" spans="2:2" x14ac:dyDescent="0.25">
      <c r="B340" s="22"/>
    </row>
    <row r="341" spans="2:2" x14ac:dyDescent="0.25">
      <c r="B341" s="22"/>
    </row>
    <row r="342" spans="2:2" x14ac:dyDescent="0.25">
      <c r="B342" s="22"/>
    </row>
    <row r="343" spans="2:2" x14ac:dyDescent="0.25">
      <c r="B343" s="22"/>
    </row>
    <row r="344" spans="2:2" x14ac:dyDescent="0.25">
      <c r="B344" s="22"/>
    </row>
    <row r="345" spans="2:2" x14ac:dyDescent="0.25">
      <c r="B345" s="22"/>
    </row>
    <row r="346" spans="2:2" x14ac:dyDescent="0.25">
      <c r="B346" s="22"/>
    </row>
    <row r="347" spans="2:2" x14ac:dyDescent="0.25">
      <c r="B347" s="22"/>
    </row>
    <row r="348" spans="2:2" x14ac:dyDescent="0.25">
      <c r="B348" s="22"/>
    </row>
    <row r="349" spans="2:2" x14ac:dyDescent="0.25">
      <c r="B349" s="22"/>
    </row>
    <row r="350" spans="2:2" x14ac:dyDescent="0.25">
      <c r="B350" s="22"/>
    </row>
    <row r="351" spans="2:2" x14ac:dyDescent="0.25">
      <c r="B351" s="22"/>
    </row>
    <row r="352" spans="2:2" x14ac:dyDescent="0.25">
      <c r="B352" s="22"/>
    </row>
    <row r="353" spans="2:2" x14ac:dyDescent="0.25">
      <c r="B353" s="22"/>
    </row>
    <row r="354" spans="2:2" x14ac:dyDescent="0.25">
      <c r="B354" s="22"/>
    </row>
    <row r="355" spans="2:2" x14ac:dyDescent="0.25">
      <c r="B355" s="22"/>
    </row>
    <row r="356" spans="2:2" x14ac:dyDescent="0.25">
      <c r="B356" s="22"/>
    </row>
    <row r="357" spans="2:2" x14ac:dyDescent="0.25">
      <c r="B357" s="22"/>
    </row>
    <row r="358" spans="2:2" x14ac:dyDescent="0.25">
      <c r="B358" s="22"/>
    </row>
    <row r="359" spans="2:2" x14ac:dyDescent="0.25">
      <c r="B359" s="22"/>
    </row>
    <row r="360" spans="2:2" x14ac:dyDescent="0.25">
      <c r="B360" s="22"/>
    </row>
    <row r="361" spans="2:2" x14ac:dyDescent="0.25">
      <c r="B361" s="22"/>
    </row>
    <row r="362" spans="2:2" x14ac:dyDescent="0.25">
      <c r="B362" s="22"/>
    </row>
    <row r="363" spans="2:2" x14ac:dyDescent="0.25">
      <c r="B363" s="22"/>
    </row>
    <row r="364" spans="2:2" x14ac:dyDescent="0.25">
      <c r="B364" s="22"/>
    </row>
    <row r="365" spans="2:2" x14ac:dyDescent="0.25">
      <c r="B365" s="22"/>
    </row>
    <row r="366" spans="2:2" x14ac:dyDescent="0.25">
      <c r="B366" s="22"/>
    </row>
    <row r="367" spans="2:2" x14ac:dyDescent="0.25">
      <c r="B367" s="22"/>
    </row>
    <row r="368" spans="2:2" x14ac:dyDescent="0.25">
      <c r="B368" s="22"/>
    </row>
    <row r="369" spans="2:2" x14ac:dyDescent="0.25">
      <c r="B369" s="22"/>
    </row>
    <row r="370" spans="2:2" x14ac:dyDescent="0.25">
      <c r="B370" s="22"/>
    </row>
    <row r="371" spans="2:2" x14ac:dyDescent="0.25">
      <c r="B371" s="22"/>
    </row>
    <row r="372" spans="2:2" x14ac:dyDescent="0.25">
      <c r="B372" s="22"/>
    </row>
    <row r="373" spans="2:2" x14ac:dyDescent="0.25">
      <c r="B373" s="22"/>
    </row>
    <row r="374" spans="2:2" x14ac:dyDescent="0.25">
      <c r="B374" s="22"/>
    </row>
    <row r="375" spans="2:2" x14ac:dyDescent="0.25">
      <c r="B375" s="22"/>
    </row>
    <row r="376" spans="2:2" x14ac:dyDescent="0.25">
      <c r="B376" s="22"/>
    </row>
    <row r="377" spans="2:2" x14ac:dyDescent="0.25">
      <c r="B377" s="22"/>
    </row>
    <row r="378" spans="2:2" x14ac:dyDescent="0.25">
      <c r="B378" s="22"/>
    </row>
    <row r="379" spans="2:2" x14ac:dyDescent="0.25">
      <c r="B379" s="22"/>
    </row>
    <row r="380" spans="2:2" x14ac:dyDescent="0.25">
      <c r="B380" s="22"/>
    </row>
    <row r="381" spans="2:2" x14ac:dyDescent="0.25">
      <c r="B381" s="22"/>
    </row>
    <row r="382" spans="2:2" x14ac:dyDescent="0.25">
      <c r="B382" s="22"/>
    </row>
    <row r="383" spans="2:2" x14ac:dyDescent="0.25">
      <c r="B383" s="22"/>
    </row>
    <row r="384" spans="2:2" x14ac:dyDescent="0.25">
      <c r="B384" s="22"/>
    </row>
    <row r="385" spans="2:2" x14ac:dyDescent="0.25">
      <c r="B385" s="22"/>
    </row>
    <row r="386" spans="2:2" x14ac:dyDescent="0.25">
      <c r="B386" s="22"/>
    </row>
    <row r="387" spans="2:2" x14ac:dyDescent="0.25">
      <c r="B387" s="22"/>
    </row>
    <row r="388" spans="2:2" x14ac:dyDescent="0.25">
      <c r="B388" s="22"/>
    </row>
    <row r="389" spans="2:2" x14ac:dyDescent="0.25">
      <c r="B389" s="22"/>
    </row>
    <row r="390" spans="2:2" x14ac:dyDescent="0.25">
      <c r="B390" s="22"/>
    </row>
    <row r="391" spans="2:2" x14ac:dyDescent="0.25">
      <c r="B391" s="22"/>
    </row>
    <row r="392" spans="2:2" x14ac:dyDescent="0.25">
      <c r="B392" s="22"/>
    </row>
    <row r="393" spans="2:2" x14ac:dyDescent="0.25">
      <c r="B393" s="22"/>
    </row>
    <row r="394" spans="2:2" x14ac:dyDescent="0.25">
      <c r="B394" s="22"/>
    </row>
    <row r="395" spans="2:2" x14ac:dyDescent="0.25">
      <c r="B395" s="22"/>
    </row>
    <row r="396" spans="2:2" x14ac:dyDescent="0.25">
      <c r="B396" s="22"/>
    </row>
    <row r="397" spans="2:2" x14ac:dyDescent="0.25">
      <c r="B397" s="22"/>
    </row>
    <row r="398" spans="2:2" x14ac:dyDescent="0.25">
      <c r="B398" s="22"/>
    </row>
    <row r="399" spans="2:2" x14ac:dyDescent="0.25">
      <c r="B399" s="22"/>
    </row>
    <row r="400" spans="2:2" x14ac:dyDescent="0.25">
      <c r="B400" s="22"/>
    </row>
    <row r="401" spans="2:2" x14ac:dyDescent="0.25">
      <c r="B401" s="22"/>
    </row>
    <row r="402" spans="2:2" x14ac:dyDescent="0.25">
      <c r="B402" s="22"/>
    </row>
    <row r="403" spans="2:2" x14ac:dyDescent="0.25">
      <c r="B403" s="22"/>
    </row>
    <row r="404" spans="2:2" x14ac:dyDescent="0.25">
      <c r="B404" s="22"/>
    </row>
    <row r="405" spans="2:2" x14ac:dyDescent="0.25">
      <c r="B405" s="22"/>
    </row>
    <row r="406" spans="2:2" x14ac:dyDescent="0.25">
      <c r="B406" s="22"/>
    </row>
    <row r="407" spans="2:2" x14ac:dyDescent="0.25">
      <c r="B407" s="22"/>
    </row>
    <row r="408" spans="2:2" x14ac:dyDescent="0.25">
      <c r="B408" s="22"/>
    </row>
    <row r="409" spans="2:2" x14ac:dyDescent="0.25">
      <c r="B409" s="22"/>
    </row>
    <row r="410" spans="2:2" x14ac:dyDescent="0.25">
      <c r="B410" s="22"/>
    </row>
    <row r="411" spans="2:2" x14ac:dyDescent="0.25">
      <c r="B411" s="22"/>
    </row>
    <row r="412" spans="2:2" x14ac:dyDescent="0.25">
      <c r="B412" s="22"/>
    </row>
    <row r="413" spans="2:2" x14ac:dyDescent="0.25">
      <c r="B413" s="22"/>
    </row>
    <row r="414" spans="2:2" x14ac:dyDescent="0.25">
      <c r="B414" s="22"/>
    </row>
    <row r="415" spans="2:2" x14ac:dyDescent="0.25">
      <c r="B415" s="22"/>
    </row>
    <row r="416" spans="2:2" x14ac:dyDescent="0.25">
      <c r="B416" s="22"/>
    </row>
    <row r="417" spans="2:2" x14ac:dyDescent="0.25">
      <c r="B417" s="22"/>
    </row>
    <row r="418" spans="2:2" x14ac:dyDescent="0.25">
      <c r="B418" s="22"/>
    </row>
    <row r="419" spans="2:2" x14ac:dyDescent="0.25">
      <c r="B419" s="22"/>
    </row>
    <row r="420" spans="2:2" x14ac:dyDescent="0.25">
      <c r="B420" s="22"/>
    </row>
    <row r="421" spans="2:2" x14ac:dyDescent="0.25">
      <c r="B421" s="22"/>
    </row>
    <row r="422" spans="2:2" x14ac:dyDescent="0.25">
      <c r="B422" s="22"/>
    </row>
    <row r="423" spans="2:2" x14ac:dyDescent="0.25">
      <c r="B423" s="22"/>
    </row>
    <row r="424" spans="2:2" x14ac:dyDescent="0.25">
      <c r="B424" s="22"/>
    </row>
    <row r="425" spans="2:2" x14ac:dyDescent="0.25">
      <c r="B425" s="22"/>
    </row>
    <row r="426" spans="2:2" x14ac:dyDescent="0.25">
      <c r="B426" s="22"/>
    </row>
    <row r="427" spans="2:2" x14ac:dyDescent="0.25">
      <c r="B427" s="22"/>
    </row>
    <row r="428" spans="2:2" x14ac:dyDescent="0.25">
      <c r="B428" s="22"/>
    </row>
    <row r="429" spans="2:2" x14ac:dyDescent="0.25">
      <c r="B429" s="22"/>
    </row>
    <row r="430" spans="2:2" x14ac:dyDescent="0.25">
      <c r="B430" s="22"/>
    </row>
    <row r="431" spans="2:2" x14ac:dyDescent="0.25">
      <c r="B431" s="22"/>
    </row>
    <row r="432" spans="2:2" x14ac:dyDescent="0.25">
      <c r="B432" s="22"/>
    </row>
    <row r="433" spans="2:2" x14ac:dyDescent="0.25">
      <c r="B433" s="22"/>
    </row>
    <row r="434" spans="2:2" x14ac:dyDescent="0.25">
      <c r="B434" s="22"/>
    </row>
    <row r="435" spans="2:2" x14ac:dyDescent="0.25">
      <c r="B435" s="22"/>
    </row>
    <row r="436" spans="2:2" x14ac:dyDescent="0.25">
      <c r="B436" s="22"/>
    </row>
    <row r="437" spans="2:2" x14ac:dyDescent="0.25">
      <c r="B437" s="22"/>
    </row>
    <row r="438" spans="2:2" x14ac:dyDescent="0.25">
      <c r="B438" s="22"/>
    </row>
    <row r="439" spans="2:2" x14ac:dyDescent="0.25">
      <c r="B439" s="22"/>
    </row>
    <row r="440" spans="2:2" x14ac:dyDescent="0.25">
      <c r="B440" s="22"/>
    </row>
    <row r="441" spans="2:2" x14ac:dyDescent="0.25">
      <c r="B441" s="22"/>
    </row>
    <row r="442" spans="2:2" x14ac:dyDescent="0.25">
      <c r="B442" s="22"/>
    </row>
    <row r="443" spans="2:2" x14ac:dyDescent="0.25">
      <c r="B443" s="22"/>
    </row>
    <row r="444" spans="2:2" x14ac:dyDescent="0.25">
      <c r="B444" s="22"/>
    </row>
    <row r="445" spans="2:2" x14ac:dyDescent="0.25">
      <c r="B445" s="22"/>
    </row>
    <row r="446" spans="2:2" x14ac:dyDescent="0.25">
      <c r="B446" s="22"/>
    </row>
    <row r="447" spans="2:2" x14ac:dyDescent="0.25">
      <c r="B447" s="22"/>
    </row>
    <row r="448" spans="2:2" x14ac:dyDescent="0.25">
      <c r="B448" s="22"/>
    </row>
    <row r="449" spans="2:2" x14ac:dyDescent="0.25">
      <c r="B449" s="22"/>
    </row>
    <row r="450" spans="2:2" x14ac:dyDescent="0.25">
      <c r="B450" s="22"/>
    </row>
    <row r="451" spans="2:2" x14ac:dyDescent="0.25">
      <c r="B451" s="22"/>
    </row>
    <row r="452" spans="2:2" x14ac:dyDescent="0.25">
      <c r="B452" s="22"/>
    </row>
    <row r="453" spans="2:2" x14ac:dyDescent="0.25">
      <c r="B453" s="22"/>
    </row>
    <row r="454" spans="2:2" x14ac:dyDescent="0.25">
      <c r="B454" s="22"/>
    </row>
    <row r="455" spans="2:2" x14ac:dyDescent="0.25">
      <c r="B455" s="22"/>
    </row>
    <row r="456" spans="2:2" x14ac:dyDescent="0.25">
      <c r="B456" s="22"/>
    </row>
    <row r="457" spans="2:2" x14ac:dyDescent="0.25">
      <c r="B457" s="22"/>
    </row>
    <row r="458" spans="2:2" x14ac:dyDescent="0.25">
      <c r="B458" s="22"/>
    </row>
    <row r="459" spans="2:2" x14ac:dyDescent="0.25">
      <c r="B459" s="22"/>
    </row>
    <row r="460" spans="2:2" x14ac:dyDescent="0.25">
      <c r="B460" s="22"/>
    </row>
    <row r="461" spans="2:2" x14ac:dyDescent="0.25">
      <c r="B461" s="22"/>
    </row>
    <row r="462" spans="2:2" x14ac:dyDescent="0.25">
      <c r="B462" s="22"/>
    </row>
    <row r="463" spans="2:2" x14ac:dyDescent="0.25">
      <c r="B463" s="22"/>
    </row>
    <row r="464" spans="2:2" x14ac:dyDescent="0.25">
      <c r="B464" s="22"/>
    </row>
    <row r="465" spans="2:2" x14ac:dyDescent="0.25">
      <c r="B465" s="22"/>
    </row>
    <row r="466" spans="2:2" x14ac:dyDescent="0.25">
      <c r="B466" s="22"/>
    </row>
    <row r="467" spans="2:2" x14ac:dyDescent="0.25">
      <c r="B467" s="22"/>
    </row>
    <row r="468" spans="2:2" x14ac:dyDescent="0.25">
      <c r="B468" s="22"/>
    </row>
    <row r="469" spans="2:2" x14ac:dyDescent="0.25">
      <c r="B469" s="22"/>
    </row>
    <row r="470" spans="2:2" x14ac:dyDescent="0.25">
      <c r="B470" s="22"/>
    </row>
    <row r="471" spans="2:2" x14ac:dyDescent="0.25">
      <c r="B471" s="22"/>
    </row>
    <row r="472" spans="2:2" x14ac:dyDescent="0.25">
      <c r="B472" s="22"/>
    </row>
    <row r="473" spans="2:2" x14ac:dyDescent="0.25">
      <c r="B473" s="22"/>
    </row>
    <row r="474" spans="2:2" x14ac:dyDescent="0.25">
      <c r="B474" s="22"/>
    </row>
    <row r="475" spans="2:2" x14ac:dyDescent="0.25">
      <c r="B475" s="22"/>
    </row>
    <row r="476" spans="2:2" x14ac:dyDescent="0.25">
      <c r="B476" s="22"/>
    </row>
    <row r="477" spans="2:2" x14ac:dyDescent="0.25">
      <c r="B477" s="22"/>
    </row>
    <row r="478" spans="2:2" x14ac:dyDescent="0.25">
      <c r="B478" s="22"/>
    </row>
    <row r="479" spans="2:2" x14ac:dyDescent="0.25">
      <c r="B479" s="22"/>
    </row>
    <row r="480" spans="2:2" x14ac:dyDescent="0.25">
      <c r="B480" s="22"/>
    </row>
    <row r="481" spans="2:2" x14ac:dyDescent="0.25">
      <c r="B481" s="22"/>
    </row>
    <row r="482" spans="2:2" x14ac:dyDescent="0.25">
      <c r="B482" s="22"/>
    </row>
    <row r="483" spans="2:2" x14ac:dyDescent="0.25">
      <c r="B483" s="22"/>
    </row>
    <row r="484" spans="2:2" x14ac:dyDescent="0.25">
      <c r="B484" s="22"/>
    </row>
    <row r="485" spans="2:2" x14ac:dyDescent="0.25">
      <c r="B485" s="22"/>
    </row>
    <row r="486" spans="2:2" x14ac:dyDescent="0.25">
      <c r="B486" s="22"/>
    </row>
    <row r="487" spans="2:2" x14ac:dyDescent="0.25">
      <c r="B487" s="22"/>
    </row>
    <row r="488" spans="2:2" x14ac:dyDescent="0.25">
      <c r="B488" s="22"/>
    </row>
    <row r="489" spans="2:2" x14ac:dyDescent="0.25">
      <c r="B489" s="22"/>
    </row>
    <row r="490" spans="2:2" x14ac:dyDescent="0.25">
      <c r="B490" s="22"/>
    </row>
    <row r="491" spans="2:2" x14ac:dyDescent="0.25">
      <c r="B491" s="22"/>
    </row>
    <row r="492" spans="2:2" x14ac:dyDescent="0.25">
      <c r="B492" s="22"/>
    </row>
    <row r="493" spans="2:2" x14ac:dyDescent="0.25">
      <c r="B493" s="22"/>
    </row>
    <row r="494" spans="2:2" x14ac:dyDescent="0.25">
      <c r="B494" s="22"/>
    </row>
    <row r="495" spans="2:2" x14ac:dyDescent="0.25">
      <c r="B495" s="22"/>
    </row>
    <row r="496" spans="2:2" x14ac:dyDescent="0.25">
      <c r="B496" s="22"/>
    </row>
    <row r="497" spans="2:2" x14ac:dyDescent="0.25">
      <c r="B497" s="22"/>
    </row>
    <row r="498" spans="2:2" x14ac:dyDescent="0.25">
      <c r="B498" s="22"/>
    </row>
    <row r="499" spans="2:2" x14ac:dyDescent="0.25">
      <c r="B499" s="22"/>
    </row>
    <row r="500" spans="2:2" x14ac:dyDescent="0.25">
      <c r="B500" s="22"/>
    </row>
    <row r="501" spans="2:2" x14ac:dyDescent="0.25">
      <c r="B501" s="22"/>
    </row>
    <row r="502" spans="2:2" x14ac:dyDescent="0.25">
      <c r="B502" s="22"/>
    </row>
    <row r="503" spans="2:2" x14ac:dyDescent="0.25">
      <c r="B503" s="22"/>
    </row>
    <row r="504" spans="2:2" x14ac:dyDescent="0.25">
      <c r="B504" s="22"/>
    </row>
    <row r="505" spans="2:2" x14ac:dyDescent="0.25">
      <c r="B505" s="22"/>
    </row>
    <row r="506" spans="2:2" x14ac:dyDescent="0.25">
      <c r="B506" s="22"/>
    </row>
    <row r="507" spans="2:2" x14ac:dyDescent="0.25">
      <c r="B507" s="22"/>
    </row>
    <row r="508" spans="2:2" x14ac:dyDescent="0.25">
      <c r="B508" s="22"/>
    </row>
    <row r="509" spans="2:2" x14ac:dyDescent="0.25">
      <c r="B509" s="22"/>
    </row>
    <row r="510" spans="2:2" x14ac:dyDescent="0.25">
      <c r="B510" s="22"/>
    </row>
    <row r="511" spans="2:2" x14ac:dyDescent="0.25">
      <c r="B511" s="22"/>
    </row>
    <row r="512" spans="2:2" x14ac:dyDescent="0.25">
      <c r="B512" s="22"/>
    </row>
    <row r="513" spans="2:2" x14ac:dyDescent="0.25">
      <c r="B513" s="22"/>
    </row>
    <row r="514" spans="2:2" x14ac:dyDescent="0.25">
      <c r="B514" s="22"/>
    </row>
    <row r="515" spans="2:2" x14ac:dyDescent="0.25">
      <c r="B515" s="22"/>
    </row>
    <row r="516" spans="2:2" x14ac:dyDescent="0.25">
      <c r="B516" s="22"/>
    </row>
    <row r="517" spans="2:2" x14ac:dyDescent="0.25">
      <c r="B517" s="22"/>
    </row>
    <row r="518" spans="2:2" x14ac:dyDescent="0.25">
      <c r="B518" s="22"/>
    </row>
    <row r="519" spans="2:2" x14ac:dyDescent="0.25">
      <c r="B519" s="22"/>
    </row>
    <row r="520" spans="2:2" x14ac:dyDescent="0.25">
      <c r="B520" s="22"/>
    </row>
    <row r="521" spans="2:2" x14ac:dyDescent="0.25">
      <c r="B521" s="22"/>
    </row>
    <row r="522" spans="2:2" x14ac:dyDescent="0.25">
      <c r="B522" s="22"/>
    </row>
    <row r="523" spans="2:2" x14ac:dyDescent="0.25">
      <c r="B523" s="22"/>
    </row>
    <row r="524" spans="2:2" x14ac:dyDescent="0.25">
      <c r="B524" s="22"/>
    </row>
    <row r="525" spans="2:2" x14ac:dyDescent="0.25">
      <c r="B525" s="22"/>
    </row>
    <row r="526" spans="2:2" x14ac:dyDescent="0.25">
      <c r="B526" s="22"/>
    </row>
    <row r="527" spans="2:2" x14ac:dyDescent="0.25">
      <c r="B527" s="22"/>
    </row>
    <row r="528" spans="2:2" x14ac:dyDescent="0.25">
      <c r="B528" s="22"/>
    </row>
    <row r="529" spans="2:2" x14ac:dyDescent="0.25">
      <c r="B529" s="22"/>
    </row>
    <row r="530" spans="2:2" x14ac:dyDescent="0.25">
      <c r="B530" s="22"/>
    </row>
    <row r="531" spans="2:2" x14ac:dyDescent="0.25">
      <c r="B531" s="22"/>
    </row>
    <row r="532" spans="2:2" x14ac:dyDescent="0.25">
      <c r="B532" s="22"/>
    </row>
    <row r="533" spans="2:2" x14ac:dyDescent="0.25">
      <c r="B533" s="22"/>
    </row>
    <row r="534" spans="2:2" x14ac:dyDescent="0.25">
      <c r="B534" s="22"/>
    </row>
    <row r="535" spans="2:2" x14ac:dyDescent="0.25">
      <c r="B535" s="22"/>
    </row>
    <row r="536" spans="2:2" x14ac:dyDescent="0.25">
      <c r="B536" s="22"/>
    </row>
    <row r="537" spans="2:2" x14ac:dyDescent="0.25">
      <c r="B537" s="22"/>
    </row>
    <row r="538" spans="2:2" x14ac:dyDescent="0.25">
      <c r="B538" s="22"/>
    </row>
    <row r="539" spans="2:2" x14ac:dyDescent="0.25">
      <c r="B539" s="22"/>
    </row>
    <row r="540" spans="2:2" x14ac:dyDescent="0.25">
      <c r="B540" s="22"/>
    </row>
    <row r="541" spans="2:2" x14ac:dyDescent="0.25">
      <c r="B541" s="22"/>
    </row>
    <row r="542" spans="2:2" x14ac:dyDescent="0.25">
      <c r="B542" s="22"/>
    </row>
    <row r="543" spans="2:2" x14ac:dyDescent="0.25">
      <c r="B543" s="22"/>
    </row>
    <row r="544" spans="2:2" x14ac:dyDescent="0.25">
      <c r="B544" s="22"/>
    </row>
    <row r="545" spans="2:2" x14ac:dyDescent="0.25">
      <c r="B545" s="22"/>
    </row>
    <row r="546" spans="2:2" x14ac:dyDescent="0.25">
      <c r="B546" s="22"/>
    </row>
    <row r="547" spans="2:2" x14ac:dyDescent="0.25">
      <c r="B547" s="22"/>
    </row>
    <row r="548" spans="2:2" x14ac:dyDescent="0.25">
      <c r="B548" s="22"/>
    </row>
    <row r="549" spans="2:2" x14ac:dyDescent="0.25">
      <c r="B549" s="22"/>
    </row>
    <row r="550" spans="2:2" x14ac:dyDescent="0.25">
      <c r="B550" s="22"/>
    </row>
    <row r="551" spans="2:2" x14ac:dyDescent="0.25">
      <c r="B551" s="22"/>
    </row>
    <row r="552" spans="2:2" x14ac:dyDescent="0.25">
      <c r="B552" s="22"/>
    </row>
    <row r="553" spans="2:2" x14ac:dyDescent="0.25">
      <c r="B553" s="22"/>
    </row>
    <row r="554" spans="2:2" x14ac:dyDescent="0.25">
      <c r="B554" s="22"/>
    </row>
    <row r="555" spans="2:2" x14ac:dyDescent="0.25">
      <c r="B555" s="22"/>
    </row>
    <row r="556" spans="2:2" x14ac:dyDescent="0.25">
      <c r="B556" s="22"/>
    </row>
    <row r="557" spans="2:2" x14ac:dyDescent="0.25">
      <c r="B557" s="22"/>
    </row>
    <row r="558" spans="2:2" x14ac:dyDescent="0.25">
      <c r="B558" s="22"/>
    </row>
    <row r="559" spans="2:2" x14ac:dyDescent="0.25">
      <c r="B559" s="22"/>
    </row>
    <row r="560" spans="2:2" x14ac:dyDescent="0.25">
      <c r="B560" s="22"/>
    </row>
    <row r="561" spans="2:2" x14ac:dyDescent="0.25">
      <c r="B561" s="22"/>
    </row>
    <row r="562" spans="2:2" x14ac:dyDescent="0.25">
      <c r="B562" s="22"/>
    </row>
    <row r="563" spans="2:2" x14ac:dyDescent="0.25">
      <c r="B563" s="22"/>
    </row>
    <row r="564" spans="2:2" x14ac:dyDescent="0.25">
      <c r="B564" s="22"/>
    </row>
    <row r="565" spans="2:2" x14ac:dyDescent="0.25">
      <c r="B565" s="22"/>
    </row>
    <row r="566" spans="2:2" x14ac:dyDescent="0.25">
      <c r="B566" s="22"/>
    </row>
    <row r="567" spans="2:2" x14ac:dyDescent="0.25">
      <c r="B567" s="22"/>
    </row>
    <row r="568" spans="2:2" x14ac:dyDescent="0.25">
      <c r="B568" s="22"/>
    </row>
    <row r="569" spans="2:2" x14ac:dyDescent="0.25">
      <c r="B569" s="22"/>
    </row>
    <row r="570" spans="2:2" x14ac:dyDescent="0.25">
      <c r="B570" s="22"/>
    </row>
    <row r="571" spans="2:2" x14ac:dyDescent="0.25">
      <c r="B571" s="22"/>
    </row>
    <row r="572" spans="2:2" x14ac:dyDescent="0.25">
      <c r="B572" s="22"/>
    </row>
    <row r="573" spans="2:2" x14ac:dyDescent="0.25">
      <c r="B573" s="22"/>
    </row>
    <row r="574" spans="2:2" x14ac:dyDescent="0.25">
      <c r="B574" s="22"/>
    </row>
    <row r="575" spans="2:2" x14ac:dyDescent="0.25">
      <c r="B575" s="22"/>
    </row>
    <row r="576" spans="2:2" x14ac:dyDescent="0.25">
      <c r="B576" s="22"/>
    </row>
    <row r="577" spans="2:2" x14ac:dyDescent="0.25">
      <c r="B577" s="22"/>
    </row>
    <row r="578" spans="2:2" x14ac:dyDescent="0.25">
      <c r="B578" s="22"/>
    </row>
    <row r="579" spans="2:2" x14ac:dyDescent="0.25">
      <c r="B579" s="22"/>
    </row>
    <row r="580" spans="2:2" x14ac:dyDescent="0.25">
      <c r="B580" s="22"/>
    </row>
    <row r="581" spans="2:2" x14ac:dyDescent="0.25">
      <c r="B581" s="22"/>
    </row>
    <row r="582" spans="2:2" x14ac:dyDescent="0.25">
      <c r="B582" s="22"/>
    </row>
    <row r="583" spans="2:2" x14ac:dyDescent="0.25">
      <c r="B583" s="22"/>
    </row>
    <row r="584" spans="2:2" x14ac:dyDescent="0.25">
      <c r="B584" s="22"/>
    </row>
    <row r="585" spans="2:2" x14ac:dyDescent="0.25">
      <c r="B585" s="22"/>
    </row>
    <row r="586" spans="2:2" x14ac:dyDescent="0.25">
      <c r="B586" s="22"/>
    </row>
    <row r="587" spans="2:2" x14ac:dyDescent="0.25">
      <c r="B587" s="22"/>
    </row>
    <row r="588" spans="2:2" x14ac:dyDescent="0.25">
      <c r="B588" s="22"/>
    </row>
    <row r="589" spans="2:2" x14ac:dyDescent="0.25">
      <c r="B589" s="22"/>
    </row>
    <row r="590" spans="2:2" x14ac:dyDescent="0.25">
      <c r="B590" s="22"/>
    </row>
    <row r="591" spans="2:2" x14ac:dyDescent="0.25">
      <c r="B591" s="22"/>
    </row>
    <row r="592" spans="2:2" x14ac:dyDescent="0.25">
      <c r="B592" s="22"/>
    </row>
    <row r="593" spans="2:2" x14ac:dyDescent="0.25">
      <c r="B593" s="22"/>
    </row>
    <row r="594" spans="2:2" x14ac:dyDescent="0.25">
      <c r="B594" s="22"/>
    </row>
    <row r="595" spans="2:2" x14ac:dyDescent="0.25">
      <c r="B595" s="22"/>
    </row>
    <row r="596" spans="2:2" x14ac:dyDescent="0.25">
      <c r="B596" s="22"/>
    </row>
    <row r="597" spans="2:2" x14ac:dyDescent="0.25">
      <c r="B597" s="22"/>
    </row>
    <row r="598" spans="2:2" x14ac:dyDescent="0.25">
      <c r="B598" s="22"/>
    </row>
    <row r="599" spans="2:2" x14ac:dyDescent="0.25">
      <c r="B599" s="22"/>
    </row>
    <row r="600" spans="2:2" x14ac:dyDescent="0.25">
      <c r="B600" s="22"/>
    </row>
    <row r="601" spans="2:2" x14ac:dyDescent="0.25">
      <c r="B601" s="22"/>
    </row>
    <row r="602" spans="2:2" x14ac:dyDescent="0.25">
      <c r="B602" s="22"/>
    </row>
    <row r="603" spans="2:2" x14ac:dyDescent="0.25">
      <c r="B603" s="22"/>
    </row>
    <row r="604" spans="2:2" x14ac:dyDescent="0.25">
      <c r="B604" s="22"/>
    </row>
    <row r="605" spans="2:2" x14ac:dyDescent="0.25">
      <c r="B605" s="22"/>
    </row>
    <row r="606" spans="2:2" x14ac:dyDescent="0.25">
      <c r="B606" s="22"/>
    </row>
    <row r="607" spans="2:2" x14ac:dyDescent="0.25">
      <c r="B607" s="22"/>
    </row>
    <row r="608" spans="2:2" x14ac:dyDescent="0.25">
      <c r="B608" s="22"/>
    </row>
    <row r="609" spans="2:2" x14ac:dyDescent="0.25">
      <c r="B609" s="22"/>
    </row>
    <row r="610" spans="2:2" x14ac:dyDescent="0.25">
      <c r="B610" s="22"/>
    </row>
    <row r="611" spans="2:2" x14ac:dyDescent="0.25">
      <c r="B611" s="22"/>
    </row>
    <row r="612" spans="2:2" x14ac:dyDescent="0.25">
      <c r="B612" s="22"/>
    </row>
    <row r="613" spans="2:2" x14ac:dyDescent="0.25">
      <c r="B613" s="22"/>
    </row>
    <row r="614" spans="2:2" x14ac:dyDescent="0.25">
      <c r="B614" s="22"/>
    </row>
    <row r="615" spans="2:2" x14ac:dyDescent="0.25">
      <c r="B615" s="22"/>
    </row>
    <row r="616" spans="2:2" x14ac:dyDescent="0.25">
      <c r="B616" s="22"/>
    </row>
    <row r="617" spans="2:2" x14ac:dyDescent="0.25">
      <c r="B617" s="22"/>
    </row>
    <row r="618" spans="2:2" x14ac:dyDescent="0.25">
      <c r="B618" s="22"/>
    </row>
    <row r="619" spans="2:2" x14ac:dyDescent="0.25">
      <c r="B619" s="22"/>
    </row>
    <row r="620" spans="2:2" x14ac:dyDescent="0.25">
      <c r="B620" s="22"/>
    </row>
    <row r="621" spans="2:2" x14ac:dyDescent="0.25">
      <c r="B621" s="22"/>
    </row>
    <row r="622" spans="2:2" x14ac:dyDescent="0.25">
      <c r="B622" s="22"/>
    </row>
    <row r="623" spans="2:2" x14ac:dyDescent="0.25">
      <c r="B623" s="22"/>
    </row>
    <row r="624" spans="2:2" x14ac:dyDescent="0.25">
      <c r="B624" s="22"/>
    </row>
    <row r="625" spans="2:2" x14ac:dyDescent="0.25">
      <c r="B625" s="22"/>
    </row>
    <row r="626" spans="2:2" x14ac:dyDescent="0.25">
      <c r="B626" s="22"/>
    </row>
    <row r="627" spans="2:2" x14ac:dyDescent="0.25">
      <c r="B627" s="22"/>
    </row>
    <row r="628" spans="2:2" x14ac:dyDescent="0.25">
      <c r="B628" s="22"/>
    </row>
    <row r="629" spans="2:2" x14ac:dyDescent="0.25">
      <c r="B629" s="22"/>
    </row>
    <row r="630" spans="2:2" x14ac:dyDescent="0.25">
      <c r="B630" s="22"/>
    </row>
    <row r="631" spans="2:2" x14ac:dyDescent="0.25">
      <c r="B631" s="22"/>
    </row>
    <row r="632" spans="2:2" x14ac:dyDescent="0.25">
      <c r="B632" s="22"/>
    </row>
    <row r="633" spans="2:2" x14ac:dyDescent="0.25">
      <c r="B633" s="22"/>
    </row>
    <row r="634" spans="2:2" x14ac:dyDescent="0.25">
      <c r="B634" s="22"/>
    </row>
    <row r="635" spans="2:2" x14ac:dyDescent="0.25">
      <c r="B635" s="22"/>
    </row>
    <row r="636" spans="2:2" x14ac:dyDescent="0.25">
      <c r="B636" s="22"/>
    </row>
    <row r="637" spans="2:2" x14ac:dyDescent="0.25">
      <c r="B637" s="22"/>
    </row>
    <row r="638" spans="2:2" x14ac:dyDescent="0.25">
      <c r="B638" s="22"/>
    </row>
    <row r="639" spans="2:2" x14ac:dyDescent="0.25">
      <c r="B639" s="22"/>
    </row>
    <row r="640" spans="2:2" x14ac:dyDescent="0.25">
      <c r="B640" s="22"/>
    </row>
    <row r="641" spans="2:2" x14ac:dyDescent="0.25">
      <c r="B641" s="22"/>
    </row>
    <row r="642" spans="2:2" x14ac:dyDescent="0.25">
      <c r="B642" s="22"/>
    </row>
    <row r="643" spans="2:2" x14ac:dyDescent="0.25">
      <c r="B643" s="22"/>
    </row>
    <row r="644" spans="2:2" x14ac:dyDescent="0.25">
      <c r="B644" s="22"/>
    </row>
    <row r="645" spans="2:2" x14ac:dyDescent="0.25">
      <c r="B645" s="22"/>
    </row>
    <row r="646" spans="2:2" x14ac:dyDescent="0.25">
      <c r="B646" s="22"/>
    </row>
    <row r="647" spans="2:2" x14ac:dyDescent="0.25">
      <c r="B647" s="22"/>
    </row>
    <row r="648" spans="2:2" x14ac:dyDescent="0.25">
      <c r="B648" s="22"/>
    </row>
    <row r="649" spans="2:2" x14ac:dyDescent="0.25">
      <c r="B649" s="22"/>
    </row>
    <row r="650" spans="2:2" x14ac:dyDescent="0.25">
      <c r="B650" s="22"/>
    </row>
    <row r="651" spans="2:2" x14ac:dyDescent="0.25">
      <c r="B651" s="22"/>
    </row>
    <row r="652" spans="2:2" x14ac:dyDescent="0.25">
      <c r="B652" s="22"/>
    </row>
    <row r="653" spans="2:2" x14ac:dyDescent="0.25">
      <c r="B653" s="22"/>
    </row>
    <row r="654" spans="2:2" x14ac:dyDescent="0.25">
      <c r="B654" s="22"/>
    </row>
    <row r="655" spans="2:2" x14ac:dyDescent="0.25">
      <c r="B655" s="22"/>
    </row>
    <row r="656" spans="2:2" x14ac:dyDescent="0.25">
      <c r="B656" s="22"/>
    </row>
    <row r="657" spans="2:2" x14ac:dyDescent="0.25">
      <c r="B657" s="22"/>
    </row>
    <row r="658" spans="2:2" x14ac:dyDescent="0.25">
      <c r="B658" s="22"/>
    </row>
    <row r="659" spans="2:2" x14ac:dyDescent="0.25">
      <c r="B659" s="22"/>
    </row>
    <row r="660" spans="2:2" x14ac:dyDescent="0.25">
      <c r="B660" s="22"/>
    </row>
    <row r="661" spans="2:2" x14ac:dyDescent="0.25">
      <c r="B661" s="22"/>
    </row>
    <row r="662" spans="2:2" x14ac:dyDescent="0.25">
      <c r="B662" s="22"/>
    </row>
    <row r="663" spans="2:2" x14ac:dyDescent="0.25">
      <c r="B663" s="22"/>
    </row>
    <row r="664" spans="2:2" x14ac:dyDescent="0.25">
      <c r="B664" s="22"/>
    </row>
    <row r="665" spans="2:2" x14ac:dyDescent="0.25">
      <c r="B665" s="22"/>
    </row>
    <row r="666" spans="2:2" x14ac:dyDescent="0.25">
      <c r="B666" s="22"/>
    </row>
    <row r="667" spans="2:2" x14ac:dyDescent="0.25">
      <c r="B667" s="22"/>
    </row>
    <row r="668" spans="2:2" x14ac:dyDescent="0.25">
      <c r="B668" s="22"/>
    </row>
    <row r="669" spans="2:2" x14ac:dyDescent="0.25">
      <c r="B669" s="22"/>
    </row>
    <row r="670" spans="2:2" x14ac:dyDescent="0.25">
      <c r="B670" s="22"/>
    </row>
    <row r="671" spans="2:2" x14ac:dyDescent="0.25">
      <c r="B671" s="22"/>
    </row>
    <row r="672" spans="2:2" x14ac:dyDescent="0.25">
      <c r="B672" s="22"/>
    </row>
    <row r="673" spans="2:2" x14ac:dyDescent="0.25">
      <c r="B673" s="22"/>
    </row>
    <row r="674" spans="2:2" x14ac:dyDescent="0.25">
      <c r="B674" s="22"/>
    </row>
    <row r="675" spans="2:2" x14ac:dyDescent="0.25">
      <c r="B675" s="22"/>
    </row>
    <row r="676" spans="2:2" x14ac:dyDescent="0.25">
      <c r="B676" s="22"/>
    </row>
    <row r="677" spans="2:2" x14ac:dyDescent="0.25">
      <c r="B677" s="22"/>
    </row>
    <row r="678" spans="2:2" x14ac:dyDescent="0.25">
      <c r="B678" s="22"/>
    </row>
    <row r="679" spans="2:2" x14ac:dyDescent="0.25">
      <c r="B679" s="22"/>
    </row>
    <row r="680" spans="2:2" x14ac:dyDescent="0.25">
      <c r="B680" s="22"/>
    </row>
    <row r="681" spans="2:2" x14ac:dyDescent="0.25">
      <c r="B681" s="22"/>
    </row>
    <row r="682" spans="2:2" x14ac:dyDescent="0.25">
      <c r="B682" s="22"/>
    </row>
    <row r="683" spans="2:2" x14ac:dyDescent="0.25">
      <c r="B683" s="22"/>
    </row>
    <row r="684" spans="2:2" x14ac:dyDescent="0.25">
      <c r="B684" s="22"/>
    </row>
    <row r="685" spans="2:2" x14ac:dyDescent="0.25">
      <c r="B685" s="22"/>
    </row>
    <row r="686" spans="2:2" x14ac:dyDescent="0.25">
      <c r="B686" s="22"/>
    </row>
    <row r="687" spans="2:2" x14ac:dyDescent="0.25">
      <c r="B687" s="22"/>
    </row>
    <row r="688" spans="2:2" x14ac:dyDescent="0.25">
      <c r="B688" s="22"/>
    </row>
    <row r="689" spans="2:2" x14ac:dyDescent="0.25">
      <c r="B689" s="22"/>
    </row>
    <row r="690" spans="2:2" x14ac:dyDescent="0.25">
      <c r="B690" s="22"/>
    </row>
    <row r="691" spans="2:2" x14ac:dyDescent="0.25">
      <c r="B691" s="22"/>
    </row>
    <row r="692" spans="2:2" x14ac:dyDescent="0.25">
      <c r="B692" s="22"/>
    </row>
    <row r="693" spans="2:2" x14ac:dyDescent="0.25">
      <c r="B693" s="22"/>
    </row>
    <row r="694" spans="2:2" x14ac:dyDescent="0.25">
      <c r="B694" s="22"/>
    </row>
    <row r="695" spans="2:2" x14ac:dyDescent="0.25">
      <c r="B695" s="22"/>
    </row>
    <row r="696" spans="2:2" x14ac:dyDescent="0.25">
      <c r="B696" s="22"/>
    </row>
    <row r="697" spans="2:2" x14ac:dyDescent="0.25">
      <c r="B697" s="22"/>
    </row>
    <row r="698" spans="2:2" x14ac:dyDescent="0.25">
      <c r="B698" s="22"/>
    </row>
    <row r="699" spans="2:2" x14ac:dyDescent="0.25">
      <c r="B699" s="22"/>
    </row>
    <row r="700" spans="2:2" x14ac:dyDescent="0.25">
      <c r="B700" s="22"/>
    </row>
    <row r="701" spans="2:2" x14ac:dyDescent="0.25">
      <c r="B701" s="22"/>
    </row>
    <row r="702" spans="2:2" x14ac:dyDescent="0.25">
      <c r="B702" s="22"/>
    </row>
    <row r="703" spans="2:2" x14ac:dyDescent="0.25">
      <c r="B703" s="22"/>
    </row>
    <row r="704" spans="2:2" x14ac:dyDescent="0.25">
      <c r="B704" s="22"/>
    </row>
    <row r="705" spans="2:2" x14ac:dyDescent="0.25">
      <c r="B705" s="22"/>
    </row>
    <row r="706" spans="2:2" x14ac:dyDescent="0.25">
      <c r="B706" s="22"/>
    </row>
    <row r="707" spans="2:2" x14ac:dyDescent="0.25">
      <c r="B707" s="22"/>
    </row>
    <row r="708" spans="2:2" x14ac:dyDescent="0.25">
      <c r="B708" s="22"/>
    </row>
    <row r="709" spans="2:2" x14ac:dyDescent="0.25">
      <c r="B709" s="22"/>
    </row>
    <row r="710" spans="2:2" x14ac:dyDescent="0.25">
      <c r="B710" s="22"/>
    </row>
    <row r="711" spans="2:2" x14ac:dyDescent="0.25">
      <c r="B711" s="22"/>
    </row>
    <row r="712" spans="2:2" x14ac:dyDescent="0.25">
      <c r="B712" s="22"/>
    </row>
    <row r="713" spans="2:2" x14ac:dyDescent="0.25">
      <c r="B713" s="22"/>
    </row>
    <row r="714" spans="2:2" x14ac:dyDescent="0.25">
      <c r="B714" s="22"/>
    </row>
    <row r="715" spans="2:2" x14ac:dyDescent="0.25">
      <c r="B715" s="22"/>
    </row>
    <row r="716" spans="2:2" x14ac:dyDescent="0.25">
      <c r="B716" s="22"/>
    </row>
    <row r="717" spans="2:2" x14ac:dyDescent="0.25">
      <c r="B717" s="22"/>
    </row>
    <row r="718" spans="2:2" x14ac:dyDescent="0.25">
      <c r="B718" s="22"/>
    </row>
    <row r="719" spans="2:2" x14ac:dyDescent="0.25">
      <c r="B719" s="22"/>
    </row>
    <row r="720" spans="2:2" x14ac:dyDescent="0.25">
      <c r="B720" s="22"/>
    </row>
    <row r="721" spans="2:2" x14ac:dyDescent="0.25">
      <c r="B721" s="22"/>
    </row>
    <row r="722" spans="2:2" x14ac:dyDescent="0.25">
      <c r="B722" s="22"/>
    </row>
    <row r="723" spans="2:2" x14ac:dyDescent="0.25">
      <c r="B723" s="22"/>
    </row>
    <row r="724" spans="2:2" x14ac:dyDescent="0.25">
      <c r="B724" s="22"/>
    </row>
    <row r="725" spans="2:2" x14ac:dyDescent="0.25">
      <c r="B725" s="22"/>
    </row>
    <row r="726" spans="2:2" x14ac:dyDescent="0.25">
      <c r="B726" s="22"/>
    </row>
    <row r="727" spans="2:2" x14ac:dyDescent="0.25">
      <c r="B727" s="22"/>
    </row>
    <row r="728" spans="2:2" x14ac:dyDescent="0.25">
      <c r="B728" s="22"/>
    </row>
    <row r="729" spans="2:2" x14ac:dyDescent="0.25">
      <c r="B729" s="22"/>
    </row>
    <row r="730" spans="2:2" x14ac:dyDescent="0.25">
      <c r="B730" s="22"/>
    </row>
    <row r="731" spans="2:2" x14ac:dyDescent="0.25">
      <c r="B731" s="22"/>
    </row>
    <row r="732" spans="2:2" x14ac:dyDescent="0.25">
      <c r="B732" s="22"/>
    </row>
    <row r="733" spans="2:2" x14ac:dyDescent="0.25">
      <c r="B733" s="22"/>
    </row>
    <row r="734" spans="2:2" x14ac:dyDescent="0.25">
      <c r="B734" s="22"/>
    </row>
    <row r="735" spans="2:2" x14ac:dyDescent="0.25">
      <c r="B735" s="22"/>
    </row>
    <row r="736" spans="2:2" x14ac:dyDescent="0.25">
      <c r="B736" s="22"/>
    </row>
    <row r="737" spans="2:2" x14ac:dyDescent="0.25">
      <c r="B737" s="22"/>
    </row>
    <row r="738" spans="2:2" x14ac:dyDescent="0.25">
      <c r="B738" s="22"/>
    </row>
    <row r="739" spans="2:2" x14ac:dyDescent="0.25">
      <c r="B739" s="22"/>
    </row>
    <row r="740" spans="2:2" x14ac:dyDescent="0.25">
      <c r="B740" s="22"/>
    </row>
    <row r="741" spans="2:2" x14ac:dyDescent="0.25">
      <c r="B741" s="22"/>
    </row>
    <row r="742" spans="2:2" x14ac:dyDescent="0.25">
      <c r="B742" s="22"/>
    </row>
    <row r="743" spans="2:2" x14ac:dyDescent="0.25">
      <c r="B743" s="22"/>
    </row>
    <row r="744" spans="2:2" x14ac:dyDescent="0.25">
      <c r="B744" s="22"/>
    </row>
    <row r="745" spans="2:2" x14ac:dyDescent="0.25">
      <c r="B745" s="22"/>
    </row>
    <row r="746" spans="2:2" x14ac:dyDescent="0.25">
      <c r="B746" s="22"/>
    </row>
    <row r="747" spans="2:2" x14ac:dyDescent="0.25">
      <c r="B747" s="22"/>
    </row>
    <row r="748" spans="2:2" x14ac:dyDescent="0.25">
      <c r="B748" s="22"/>
    </row>
    <row r="749" spans="2:2" x14ac:dyDescent="0.25">
      <c r="B749" s="22"/>
    </row>
    <row r="750" spans="2:2" x14ac:dyDescent="0.25">
      <c r="B750" s="22"/>
    </row>
    <row r="751" spans="2:2" x14ac:dyDescent="0.25">
      <c r="B751" s="22"/>
    </row>
    <row r="752" spans="2:2" x14ac:dyDescent="0.25">
      <c r="B752" s="22"/>
    </row>
    <row r="753" spans="2:2" x14ac:dyDescent="0.25">
      <c r="B753" s="22"/>
    </row>
    <row r="754" spans="2:2" x14ac:dyDescent="0.25">
      <c r="B754" s="22"/>
    </row>
    <row r="755" spans="2:2" x14ac:dyDescent="0.25">
      <c r="B755" s="22"/>
    </row>
    <row r="756" spans="2:2" x14ac:dyDescent="0.25">
      <c r="B756" s="22"/>
    </row>
    <row r="757" spans="2:2" x14ac:dyDescent="0.25">
      <c r="B757" s="22"/>
    </row>
    <row r="758" spans="2:2" x14ac:dyDescent="0.25">
      <c r="B758" s="22"/>
    </row>
    <row r="759" spans="2:2" x14ac:dyDescent="0.25">
      <c r="B759" s="22"/>
    </row>
    <row r="760" spans="2:2" x14ac:dyDescent="0.25">
      <c r="B760" s="22"/>
    </row>
    <row r="761" spans="2:2" x14ac:dyDescent="0.25">
      <c r="B761" s="22"/>
    </row>
    <row r="762" spans="2:2" x14ac:dyDescent="0.25">
      <c r="B762" s="22"/>
    </row>
    <row r="763" spans="2:2" x14ac:dyDescent="0.25">
      <c r="B763" s="22"/>
    </row>
    <row r="764" spans="2:2" x14ac:dyDescent="0.25">
      <c r="B764" s="22"/>
    </row>
    <row r="765" spans="2:2" x14ac:dyDescent="0.25">
      <c r="B765" s="22"/>
    </row>
    <row r="766" spans="2:2" x14ac:dyDescent="0.25">
      <c r="B766" s="22"/>
    </row>
    <row r="767" spans="2:2" x14ac:dyDescent="0.25">
      <c r="B767" s="22"/>
    </row>
    <row r="768" spans="2:2" x14ac:dyDescent="0.25">
      <c r="B768" s="22"/>
    </row>
    <row r="769" spans="2:2" x14ac:dyDescent="0.25">
      <c r="B769" s="22"/>
    </row>
    <row r="770" spans="2:2" x14ac:dyDescent="0.25">
      <c r="B770" s="22"/>
    </row>
    <row r="771" spans="2:2" x14ac:dyDescent="0.25">
      <c r="B771" s="22"/>
    </row>
    <row r="772" spans="2:2" x14ac:dyDescent="0.25">
      <c r="B772" s="22"/>
    </row>
    <row r="773" spans="2:2" x14ac:dyDescent="0.25">
      <c r="B773" s="22"/>
    </row>
    <row r="774" spans="2:2" x14ac:dyDescent="0.25">
      <c r="B774" s="22"/>
    </row>
    <row r="775" spans="2:2" x14ac:dyDescent="0.25">
      <c r="B775" s="22"/>
    </row>
    <row r="776" spans="2:2" x14ac:dyDescent="0.25">
      <c r="B776" s="22"/>
    </row>
    <row r="777" spans="2:2" x14ac:dyDescent="0.25">
      <c r="B777" s="22"/>
    </row>
    <row r="778" spans="2:2" x14ac:dyDescent="0.25">
      <c r="B778" s="22"/>
    </row>
    <row r="779" spans="2:2" x14ac:dyDescent="0.25">
      <c r="B779" s="22"/>
    </row>
    <row r="780" spans="2:2" x14ac:dyDescent="0.25">
      <c r="B780" s="22"/>
    </row>
    <row r="781" spans="2:2" x14ac:dyDescent="0.25">
      <c r="B781" s="22"/>
    </row>
    <row r="782" spans="2:2" x14ac:dyDescent="0.25">
      <c r="B782" s="22"/>
    </row>
    <row r="783" spans="2:2" x14ac:dyDescent="0.25">
      <c r="B783" s="22"/>
    </row>
    <row r="784" spans="2:2" x14ac:dyDescent="0.25">
      <c r="B784" s="22"/>
    </row>
    <row r="785" spans="2:2" x14ac:dyDescent="0.25">
      <c r="B785" s="22"/>
    </row>
    <row r="786" spans="2:2" x14ac:dyDescent="0.25">
      <c r="B786" s="22"/>
    </row>
    <row r="787" spans="2:2" x14ac:dyDescent="0.25">
      <c r="B787" s="22"/>
    </row>
    <row r="788" spans="2:2" x14ac:dyDescent="0.25">
      <c r="B788" s="22"/>
    </row>
    <row r="789" spans="2:2" x14ac:dyDescent="0.25">
      <c r="B789" s="22"/>
    </row>
    <row r="790" spans="2:2" x14ac:dyDescent="0.25">
      <c r="B790" s="22"/>
    </row>
    <row r="791" spans="2:2" x14ac:dyDescent="0.25">
      <c r="B791" s="22"/>
    </row>
    <row r="792" spans="2:2" x14ac:dyDescent="0.25">
      <c r="B792" s="22"/>
    </row>
    <row r="793" spans="2:2" x14ac:dyDescent="0.25">
      <c r="B793" s="22"/>
    </row>
    <row r="794" spans="2:2" x14ac:dyDescent="0.25">
      <c r="B794" s="22"/>
    </row>
    <row r="795" spans="2:2" x14ac:dyDescent="0.25">
      <c r="B795" s="22"/>
    </row>
    <row r="796" spans="2:2" x14ac:dyDescent="0.25">
      <c r="B796" s="22"/>
    </row>
    <row r="797" spans="2:2" x14ac:dyDescent="0.25">
      <c r="B797" s="22"/>
    </row>
    <row r="798" spans="2:2" x14ac:dyDescent="0.25">
      <c r="B798" s="22"/>
    </row>
    <row r="799" spans="2:2" x14ac:dyDescent="0.25">
      <c r="B799" s="22"/>
    </row>
    <row r="800" spans="2:2" x14ac:dyDescent="0.25">
      <c r="B800" s="22"/>
    </row>
    <row r="801" spans="2:2" x14ac:dyDescent="0.25">
      <c r="B801" s="22"/>
    </row>
    <row r="802" spans="2:2" x14ac:dyDescent="0.25">
      <c r="B802" s="22"/>
    </row>
    <row r="803" spans="2:2" x14ac:dyDescent="0.25">
      <c r="B803" s="22"/>
    </row>
    <row r="804" spans="2:2" x14ac:dyDescent="0.25">
      <c r="B804" s="22"/>
    </row>
    <row r="805" spans="2:2" x14ac:dyDescent="0.25">
      <c r="B805" s="22"/>
    </row>
    <row r="806" spans="2:2" x14ac:dyDescent="0.25">
      <c r="B806" s="22"/>
    </row>
    <row r="807" spans="2:2" x14ac:dyDescent="0.25">
      <c r="B807" s="22"/>
    </row>
    <row r="808" spans="2:2" x14ac:dyDescent="0.25">
      <c r="B808" s="22"/>
    </row>
    <row r="809" spans="2:2" x14ac:dyDescent="0.25">
      <c r="B809" s="22"/>
    </row>
    <row r="810" spans="2:2" x14ac:dyDescent="0.25">
      <c r="B810" s="22"/>
    </row>
    <row r="811" spans="2:2" x14ac:dyDescent="0.25">
      <c r="B811" s="22"/>
    </row>
    <row r="812" spans="2:2" x14ac:dyDescent="0.25">
      <c r="B812" s="22"/>
    </row>
    <row r="813" spans="2:2" x14ac:dyDescent="0.25">
      <c r="B813" s="22"/>
    </row>
    <row r="814" spans="2:2" x14ac:dyDescent="0.25">
      <c r="B814" s="22"/>
    </row>
    <row r="815" spans="2:2" x14ac:dyDescent="0.25">
      <c r="B815" s="22"/>
    </row>
    <row r="816" spans="2:2" x14ac:dyDescent="0.25">
      <c r="B816" s="22"/>
    </row>
    <row r="817" spans="2:2" x14ac:dyDescent="0.25">
      <c r="B817" s="22"/>
    </row>
    <row r="818" spans="2:2" x14ac:dyDescent="0.25">
      <c r="B818" s="22"/>
    </row>
    <row r="819" spans="2:2" x14ac:dyDescent="0.25">
      <c r="B819" s="22"/>
    </row>
    <row r="820" spans="2:2" x14ac:dyDescent="0.25">
      <c r="B820" s="22"/>
    </row>
    <row r="821" spans="2:2" x14ac:dyDescent="0.25">
      <c r="B821" s="22"/>
    </row>
    <row r="822" spans="2:2" x14ac:dyDescent="0.25">
      <c r="B822" s="22"/>
    </row>
    <row r="823" spans="2:2" x14ac:dyDescent="0.25">
      <c r="B823" s="22"/>
    </row>
    <row r="824" spans="2:2" x14ac:dyDescent="0.25">
      <c r="B824" s="22"/>
    </row>
    <row r="825" spans="2:2" x14ac:dyDescent="0.25">
      <c r="B825" s="22"/>
    </row>
    <row r="826" spans="2:2" x14ac:dyDescent="0.25">
      <c r="B826" s="22"/>
    </row>
    <row r="827" spans="2:2" x14ac:dyDescent="0.25">
      <c r="B827" s="22"/>
    </row>
    <row r="828" spans="2:2" x14ac:dyDescent="0.25">
      <c r="B828" s="22"/>
    </row>
    <row r="829" spans="2:2" x14ac:dyDescent="0.25">
      <c r="B829" s="22"/>
    </row>
    <row r="830" spans="2:2" x14ac:dyDescent="0.25">
      <c r="B830" s="22"/>
    </row>
    <row r="831" spans="2:2" x14ac:dyDescent="0.25">
      <c r="B831" s="22"/>
    </row>
    <row r="832" spans="2:2" x14ac:dyDescent="0.25">
      <c r="B832" s="22"/>
    </row>
    <row r="833" spans="2:2" x14ac:dyDescent="0.25">
      <c r="B833" s="22"/>
    </row>
    <row r="834" spans="2:2" x14ac:dyDescent="0.25">
      <c r="B834" s="22"/>
    </row>
    <row r="835" spans="2:2" x14ac:dyDescent="0.25">
      <c r="B835" s="22"/>
    </row>
    <row r="836" spans="2:2" x14ac:dyDescent="0.25">
      <c r="B836" s="22"/>
    </row>
    <row r="837" spans="2:2" x14ac:dyDescent="0.25">
      <c r="B837" s="22"/>
    </row>
    <row r="838" spans="2:2" x14ac:dyDescent="0.25">
      <c r="B838" s="22"/>
    </row>
    <row r="839" spans="2:2" x14ac:dyDescent="0.25">
      <c r="B839" s="22"/>
    </row>
    <row r="840" spans="2:2" x14ac:dyDescent="0.25">
      <c r="B840" s="22"/>
    </row>
    <row r="841" spans="2:2" x14ac:dyDescent="0.25">
      <c r="B841" s="22"/>
    </row>
    <row r="842" spans="2:2" x14ac:dyDescent="0.25">
      <c r="B842" s="22"/>
    </row>
    <row r="843" spans="2:2" x14ac:dyDescent="0.25">
      <c r="B843" s="22"/>
    </row>
    <row r="844" spans="2:2" x14ac:dyDescent="0.25">
      <c r="B844" s="22"/>
    </row>
    <row r="845" spans="2:2" x14ac:dyDescent="0.25">
      <c r="B845" s="22"/>
    </row>
    <row r="846" spans="2:2" x14ac:dyDescent="0.25">
      <c r="B846" s="22"/>
    </row>
    <row r="847" spans="2:2" x14ac:dyDescent="0.25">
      <c r="B847" s="22"/>
    </row>
    <row r="848" spans="2:2" x14ac:dyDescent="0.25">
      <c r="B848" s="22"/>
    </row>
    <row r="849" spans="2:2" x14ac:dyDescent="0.25">
      <c r="B849" s="22"/>
    </row>
    <row r="850" spans="2:2" x14ac:dyDescent="0.25">
      <c r="B850" s="22"/>
    </row>
    <row r="851" spans="2:2" x14ac:dyDescent="0.25">
      <c r="B851" s="22"/>
    </row>
    <row r="852" spans="2:2" x14ac:dyDescent="0.25">
      <c r="B852" s="22"/>
    </row>
    <row r="853" spans="2:2" x14ac:dyDescent="0.25">
      <c r="B853" s="22"/>
    </row>
    <row r="854" spans="2:2" x14ac:dyDescent="0.25">
      <c r="B854" s="22"/>
    </row>
    <row r="855" spans="2:2" x14ac:dyDescent="0.25">
      <c r="B855" s="22"/>
    </row>
    <row r="856" spans="2:2" x14ac:dyDescent="0.25">
      <c r="B856" s="22"/>
    </row>
    <row r="857" spans="2:2" x14ac:dyDescent="0.25">
      <c r="B857" s="22"/>
    </row>
    <row r="858" spans="2:2" x14ac:dyDescent="0.25">
      <c r="B858" s="22"/>
    </row>
    <row r="859" spans="2:2" x14ac:dyDescent="0.25">
      <c r="B859" s="22"/>
    </row>
    <row r="860" spans="2:2" x14ac:dyDescent="0.25">
      <c r="B860" s="22"/>
    </row>
    <row r="861" spans="2:2" x14ac:dyDescent="0.25">
      <c r="B861" s="22"/>
    </row>
    <row r="862" spans="2:2" x14ac:dyDescent="0.25">
      <c r="B862" s="22"/>
    </row>
    <row r="863" spans="2:2" x14ac:dyDescent="0.25">
      <c r="B863" s="22"/>
    </row>
    <row r="864" spans="2:2" x14ac:dyDescent="0.25">
      <c r="B864" s="22"/>
    </row>
    <row r="865" spans="2:2" x14ac:dyDescent="0.25">
      <c r="B865" s="22"/>
    </row>
    <row r="866" spans="2:2" x14ac:dyDescent="0.25">
      <c r="B866" s="22"/>
    </row>
    <row r="867" spans="2:2" x14ac:dyDescent="0.25">
      <c r="B867" s="22"/>
    </row>
    <row r="868" spans="2:2" x14ac:dyDescent="0.25">
      <c r="B868" s="22"/>
    </row>
    <row r="869" spans="2:2" x14ac:dyDescent="0.25">
      <c r="B869" s="22"/>
    </row>
    <row r="870" spans="2:2" x14ac:dyDescent="0.25">
      <c r="B870" s="22"/>
    </row>
    <row r="871" spans="2:2" x14ac:dyDescent="0.25">
      <c r="B871" s="22"/>
    </row>
    <row r="872" spans="2:2" x14ac:dyDescent="0.25">
      <c r="B872" s="22"/>
    </row>
    <row r="873" spans="2:2" x14ac:dyDescent="0.25">
      <c r="B873" s="22"/>
    </row>
    <row r="874" spans="2:2" x14ac:dyDescent="0.25">
      <c r="B874" s="22"/>
    </row>
    <row r="875" spans="2:2" x14ac:dyDescent="0.25">
      <c r="B875" s="22"/>
    </row>
    <row r="876" spans="2:2" x14ac:dyDescent="0.25">
      <c r="B876" s="22"/>
    </row>
    <row r="877" spans="2:2" x14ac:dyDescent="0.25">
      <c r="B877" s="22"/>
    </row>
    <row r="878" spans="2:2" x14ac:dyDescent="0.25">
      <c r="B878" s="22"/>
    </row>
    <row r="879" spans="2:2" x14ac:dyDescent="0.25">
      <c r="B879" s="22"/>
    </row>
    <row r="880" spans="2:2" x14ac:dyDescent="0.25">
      <c r="B880" s="22"/>
    </row>
    <row r="881" spans="2:2" x14ac:dyDescent="0.25">
      <c r="B881" s="22"/>
    </row>
    <row r="882" spans="2:2" x14ac:dyDescent="0.25">
      <c r="B882" s="22"/>
    </row>
    <row r="883" spans="2:2" x14ac:dyDescent="0.25">
      <c r="B883" s="22"/>
    </row>
    <row r="884" spans="2:2" x14ac:dyDescent="0.25">
      <c r="B884" s="22"/>
    </row>
    <row r="885" spans="2:2" x14ac:dyDescent="0.25">
      <c r="B885" s="22"/>
    </row>
    <row r="886" spans="2:2" x14ac:dyDescent="0.25">
      <c r="B886" s="22"/>
    </row>
    <row r="887" spans="2:2" x14ac:dyDescent="0.25">
      <c r="B887" s="22"/>
    </row>
    <row r="888" spans="2:2" x14ac:dyDescent="0.25">
      <c r="B888" s="22"/>
    </row>
    <row r="889" spans="2:2" x14ac:dyDescent="0.25">
      <c r="B889" s="22"/>
    </row>
    <row r="890" spans="2:2" x14ac:dyDescent="0.25">
      <c r="B890" s="22"/>
    </row>
    <row r="891" spans="2:2" x14ac:dyDescent="0.25">
      <c r="B891" s="22"/>
    </row>
    <row r="892" spans="2:2" x14ac:dyDescent="0.25">
      <c r="B892" s="22"/>
    </row>
    <row r="893" spans="2:2" x14ac:dyDescent="0.25">
      <c r="B893" s="22"/>
    </row>
    <row r="894" spans="2:2" x14ac:dyDescent="0.25">
      <c r="B894" s="22"/>
    </row>
    <row r="895" spans="2:2" x14ac:dyDescent="0.25">
      <c r="B895" s="22"/>
    </row>
    <row r="896" spans="2:2" x14ac:dyDescent="0.25">
      <c r="B896" s="22"/>
    </row>
    <row r="897" spans="2:2" x14ac:dyDescent="0.25">
      <c r="B897" s="22"/>
    </row>
    <row r="898" spans="2:2" x14ac:dyDescent="0.25">
      <c r="B898" s="22"/>
    </row>
    <row r="899" spans="2:2" x14ac:dyDescent="0.25">
      <c r="B899" s="22"/>
    </row>
    <row r="900" spans="2:2" x14ac:dyDescent="0.25">
      <c r="B900" s="22"/>
    </row>
    <row r="901" spans="2:2" x14ac:dyDescent="0.25">
      <c r="B901" s="22"/>
    </row>
    <row r="902" spans="2:2" x14ac:dyDescent="0.25">
      <c r="B902" s="22"/>
    </row>
    <row r="903" spans="2:2" x14ac:dyDescent="0.25">
      <c r="B903" s="22"/>
    </row>
    <row r="904" spans="2:2" x14ac:dyDescent="0.25">
      <c r="B904" s="22"/>
    </row>
    <row r="905" spans="2:2" x14ac:dyDescent="0.25">
      <c r="B905" s="22"/>
    </row>
    <row r="906" spans="2:2" x14ac:dyDescent="0.25">
      <c r="B906" s="22"/>
    </row>
    <row r="907" spans="2:2" x14ac:dyDescent="0.25">
      <c r="B907" s="22"/>
    </row>
    <row r="908" spans="2:2" x14ac:dyDescent="0.25">
      <c r="B908" s="22"/>
    </row>
    <row r="909" spans="2:2" x14ac:dyDescent="0.25">
      <c r="B909" s="22"/>
    </row>
    <row r="910" spans="2:2" x14ac:dyDescent="0.25">
      <c r="B910" s="22"/>
    </row>
    <row r="911" spans="2:2" x14ac:dyDescent="0.25">
      <c r="B911" s="22"/>
    </row>
    <row r="912" spans="2:2" x14ac:dyDescent="0.25">
      <c r="B912" s="22"/>
    </row>
    <row r="913" spans="2:2" x14ac:dyDescent="0.25">
      <c r="B913" s="22"/>
    </row>
    <row r="914" spans="2:2" x14ac:dyDescent="0.25">
      <c r="B914" s="22"/>
    </row>
    <row r="915" spans="2:2" x14ac:dyDescent="0.25">
      <c r="B915" s="22"/>
    </row>
    <row r="916" spans="2:2" x14ac:dyDescent="0.25">
      <c r="B916" s="22"/>
    </row>
    <row r="917" spans="2:2" x14ac:dyDescent="0.25">
      <c r="B917" s="22"/>
    </row>
    <row r="918" spans="2:2" x14ac:dyDescent="0.25">
      <c r="B918" s="22"/>
    </row>
    <row r="919" spans="2:2" x14ac:dyDescent="0.25">
      <c r="B919" s="22"/>
    </row>
    <row r="920" spans="2:2" x14ac:dyDescent="0.25">
      <c r="B920" s="22"/>
    </row>
    <row r="921" spans="2:2" x14ac:dyDescent="0.25">
      <c r="B921" s="22"/>
    </row>
    <row r="922" spans="2:2" x14ac:dyDescent="0.25">
      <c r="B922" s="22"/>
    </row>
    <row r="923" spans="2:2" x14ac:dyDescent="0.25">
      <c r="B923" s="22"/>
    </row>
    <row r="924" spans="2:2" x14ac:dyDescent="0.25">
      <c r="B924" s="22"/>
    </row>
    <row r="925" spans="2:2" x14ac:dyDescent="0.25">
      <c r="B925" s="22"/>
    </row>
    <row r="926" spans="2:2" x14ac:dyDescent="0.25">
      <c r="B926" s="22"/>
    </row>
    <row r="927" spans="2:2" x14ac:dyDescent="0.25">
      <c r="B927" s="22"/>
    </row>
    <row r="928" spans="2:2" x14ac:dyDescent="0.25">
      <c r="B928" s="22"/>
    </row>
    <row r="929" spans="2:2" x14ac:dyDescent="0.25">
      <c r="B929" s="22"/>
    </row>
    <row r="930" spans="2:2" x14ac:dyDescent="0.25">
      <c r="B930" s="22"/>
    </row>
    <row r="931" spans="2:2" x14ac:dyDescent="0.25">
      <c r="B931" s="22"/>
    </row>
    <row r="932" spans="2:2" x14ac:dyDescent="0.25">
      <c r="B932" s="22"/>
    </row>
    <row r="933" spans="2:2" x14ac:dyDescent="0.25">
      <c r="B933" s="22"/>
    </row>
    <row r="934" spans="2:2" x14ac:dyDescent="0.25">
      <c r="B934" s="22"/>
    </row>
    <row r="935" spans="2:2" x14ac:dyDescent="0.25">
      <c r="B935" s="22"/>
    </row>
    <row r="936" spans="2:2" x14ac:dyDescent="0.25">
      <c r="B936" s="22"/>
    </row>
    <row r="937" spans="2:2" x14ac:dyDescent="0.25">
      <c r="B937" s="22"/>
    </row>
    <row r="938" spans="2:2" x14ac:dyDescent="0.25">
      <c r="B938" s="22"/>
    </row>
    <row r="939" spans="2:2" x14ac:dyDescent="0.25">
      <c r="B939" s="22"/>
    </row>
    <row r="940" spans="2:2" x14ac:dyDescent="0.25">
      <c r="B940" s="22"/>
    </row>
    <row r="941" spans="2:2" x14ac:dyDescent="0.25">
      <c r="B941" s="22"/>
    </row>
    <row r="942" spans="2:2" x14ac:dyDescent="0.25">
      <c r="B942" s="22"/>
    </row>
    <row r="943" spans="2:2" x14ac:dyDescent="0.25">
      <c r="B943" s="22"/>
    </row>
    <row r="944" spans="2:2" x14ac:dyDescent="0.25">
      <c r="B944" s="22"/>
    </row>
    <row r="945" spans="2:2" x14ac:dyDescent="0.25">
      <c r="B945" s="22"/>
    </row>
    <row r="946" spans="2:2" x14ac:dyDescent="0.25">
      <c r="B946" s="22"/>
    </row>
    <row r="947" spans="2:2" x14ac:dyDescent="0.25">
      <c r="B947" s="22"/>
    </row>
    <row r="948" spans="2:2" x14ac:dyDescent="0.25">
      <c r="B948" s="22"/>
    </row>
    <row r="949" spans="2:2" x14ac:dyDescent="0.25">
      <c r="B949" s="22"/>
    </row>
    <row r="950" spans="2:2" x14ac:dyDescent="0.25">
      <c r="B950" s="22"/>
    </row>
    <row r="951" spans="2:2" x14ac:dyDescent="0.25">
      <c r="B951" s="22"/>
    </row>
    <row r="952" spans="2:2" x14ac:dyDescent="0.25">
      <c r="B952" s="22"/>
    </row>
    <row r="953" spans="2:2" x14ac:dyDescent="0.25">
      <c r="B953" s="22"/>
    </row>
    <row r="954" spans="2:2" x14ac:dyDescent="0.25">
      <c r="B954" s="22"/>
    </row>
    <row r="955" spans="2:2" x14ac:dyDescent="0.25">
      <c r="B955" s="22"/>
    </row>
    <row r="956" spans="2:2" x14ac:dyDescent="0.25">
      <c r="B956" s="22"/>
    </row>
    <row r="957" spans="2:2" x14ac:dyDescent="0.25">
      <c r="B957" s="22"/>
    </row>
    <row r="958" spans="2:2" x14ac:dyDescent="0.25">
      <c r="B958" s="22"/>
    </row>
    <row r="959" spans="2:2" x14ac:dyDescent="0.25">
      <c r="B959" s="22"/>
    </row>
    <row r="960" spans="2:2" x14ac:dyDescent="0.25">
      <c r="B960" s="22"/>
    </row>
    <row r="961" spans="2:2" x14ac:dyDescent="0.25">
      <c r="B961" s="22"/>
    </row>
    <row r="962" spans="2:2" x14ac:dyDescent="0.25">
      <c r="B962" s="22"/>
    </row>
    <row r="963" spans="2:2" x14ac:dyDescent="0.25">
      <c r="B963" s="22"/>
    </row>
    <row r="964" spans="2:2" x14ac:dyDescent="0.25">
      <c r="B964" s="22"/>
    </row>
    <row r="965" spans="2:2" x14ac:dyDescent="0.25">
      <c r="B965" s="22"/>
    </row>
    <row r="966" spans="2:2" x14ac:dyDescent="0.25">
      <c r="B966" s="22"/>
    </row>
    <row r="967" spans="2:2" x14ac:dyDescent="0.25">
      <c r="B967" s="22"/>
    </row>
    <row r="968" spans="2:2" x14ac:dyDescent="0.25">
      <c r="B968" s="22"/>
    </row>
    <row r="969" spans="2:2" x14ac:dyDescent="0.25">
      <c r="B969" s="22"/>
    </row>
    <row r="970" spans="2:2" x14ac:dyDescent="0.25">
      <c r="B970" s="22"/>
    </row>
    <row r="971" spans="2:2" x14ac:dyDescent="0.25">
      <c r="B971" s="22"/>
    </row>
    <row r="972" spans="2:2" x14ac:dyDescent="0.25">
      <c r="B972" s="22"/>
    </row>
    <row r="973" spans="2:2" x14ac:dyDescent="0.25">
      <c r="B973" s="22"/>
    </row>
    <row r="974" spans="2:2" x14ac:dyDescent="0.25">
      <c r="B974" s="22"/>
    </row>
    <row r="975" spans="2:2" x14ac:dyDescent="0.25">
      <c r="B975" s="22"/>
    </row>
    <row r="976" spans="2:2" x14ac:dyDescent="0.25">
      <c r="B976" s="22"/>
    </row>
    <row r="977" spans="2:2" x14ac:dyDescent="0.25">
      <c r="B977" s="22"/>
    </row>
    <row r="978" spans="2:2" x14ac:dyDescent="0.25">
      <c r="B978" s="22"/>
    </row>
    <row r="979" spans="2:2" x14ac:dyDescent="0.25">
      <c r="B979" s="22"/>
    </row>
    <row r="980" spans="2:2" x14ac:dyDescent="0.25">
      <c r="B980" s="22"/>
    </row>
    <row r="981" spans="2:2" x14ac:dyDescent="0.25">
      <c r="B981" s="22"/>
    </row>
    <row r="982" spans="2:2" x14ac:dyDescent="0.25">
      <c r="B982" s="22"/>
    </row>
    <row r="983" spans="2:2" x14ac:dyDescent="0.25">
      <c r="B983" s="22"/>
    </row>
    <row r="984" spans="2:2" x14ac:dyDescent="0.25">
      <c r="B984" s="22"/>
    </row>
    <row r="985" spans="2:2" x14ac:dyDescent="0.25">
      <c r="B985" s="22"/>
    </row>
    <row r="986" spans="2:2" x14ac:dyDescent="0.25">
      <c r="B986" s="22"/>
    </row>
    <row r="987" spans="2:2" x14ac:dyDescent="0.25">
      <c r="B987" s="22"/>
    </row>
    <row r="988" spans="2:2" x14ac:dyDescent="0.25">
      <c r="B988" s="22"/>
    </row>
    <row r="989" spans="2:2" x14ac:dyDescent="0.25">
      <c r="B989" s="22"/>
    </row>
    <row r="990" spans="2:2" x14ac:dyDescent="0.25">
      <c r="B990" s="22"/>
    </row>
    <row r="991" spans="2:2" x14ac:dyDescent="0.25">
      <c r="B991" s="22"/>
    </row>
    <row r="992" spans="2:2" x14ac:dyDescent="0.25">
      <c r="B992" s="22"/>
    </row>
    <row r="993" spans="2:2" x14ac:dyDescent="0.25">
      <c r="B993" s="22"/>
    </row>
    <row r="994" spans="2:2" x14ac:dyDescent="0.25">
      <c r="B994" s="22"/>
    </row>
    <row r="995" spans="2:2" x14ac:dyDescent="0.25">
      <c r="B995" s="22"/>
    </row>
    <row r="996" spans="2:2" x14ac:dyDescent="0.25">
      <c r="B996" s="22"/>
    </row>
  </sheetData>
  <pageMargins left="0.7" right="0.7" top="0.75" bottom="0.75" header="0.3" footer="0.3"/>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E93348-C862-4C11-9B10-4A0D63EC1C27}">
  <sheetPr>
    <tabColor rgb="FF64748B"/>
  </sheetPr>
  <dimension ref="A1:I4"/>
  <sheetViews>
    <sheetView workbookViewId="0">
      <selection sqref="A1:H1"/>
    </sheetView>
  </sheetViews>
  <sheetFormatPr defaultRowHeight="15" x14ac:dyDescent="0.25"/>
  <cols>
    <col min="1" max="1" width="15.5703125" bestFit="1" customWidth="1"/>
    <col min="2" max="2" width="17.42578125" bestFit="1" customWidth="1"/>
    <col min="3" max="8" width="14.28515625" customWidth="1"/>
  </cols>
  <sheetData>
    <row r="1" spans="1:9" ht="15.75" thickBot="1" x14ac:dyDescent="0.3">
      <c r="A1" s="9" t="s">
        <v>401</v>
      </c>
      <c r="B1" s="9" t="s">
        <v>402</v>
      </c>
      <c r="C1" s="7"/>
      <c r="D1" s="7"/>
      <c r="E1" s="7"/>
      <c r="F1" s="7"/>
      <c r="G1" s="7"/>
      <c r="H1" s="7"/>
      <c r="I1" s="6"/>
    </row>
    <row r="2" spans="1:9" x14ac:dyDescent="0.25">
      <c r="A2" s="10" t="s">
        <v>63</v>
      </c>
      <c r="B2" s="10" t="s">
        <v>118</v>
      </c>
      <c r="C2" s="7"/>
      <c r="D2" s="7"/>
      <c r="E2" s="7"/>
      <c r="F2" s="7"/>
      <c r="G2" s="7"/>
      <c r="H2" s="7"/>
      <c r="I2" s="6"/>
    </row>
    <row r="3" spans="1:9" x14ac:dyDescent="0.25">
      <c r="A3" s="11" t="s">
        <v>64</v>
      </c>
      <c r="B3" s="11" t="s">
        <v>119</v>
      </c>
      <c r="C3" s="7"/>
      <c r="D3" s="7"/>
      <c r="E3" s="7"/>
      <c r="F3" s="7"/>
      <c r="G3" s="7"/>
      <c r="H3" s="7"/>
      <c r="I3" s="6"/>
    </row>
    <row r="4" spans="1:9" x14ac:dyDescent="0.25">
      <c r="A4" s="10" t="s">
        <v>65</v>
      </c>
      <c r="B4" s="10" t="s">
        <v>120</v>
      </c>
      <c r="C4" s="7"/>
      <c r="D4" s="7"/>
      <c r="E4" s="7"/>
      <c r="F4" s="7"/>
      <c r="G4" s="7"/>
      <c r="H4" s="7"/>
      <c r="I4" s="6"/>
    </row>
  </sheetData>
  <pageMargins left="0.7" right="0.7" top="0.75" bottom="0.75" header="0.3" footer="0.3"/>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46CD1-E046-41F0-A1F8-D58691C55F92}">
  <sheetPr>
    <tabColor rgb="FF94A3B8"/>
  </sheetPr>
  <dimension ref="A1:S11"/>
  <sheetViews>
    <sheetView workbookViewId="0"/>
  </sheetViews>
  <sheetFormatPr defaultRowHeight="15" x14ac:dyDescent="0.25"/>
  <sheetData>
    <row r="1" spans="1:19" x14ac:dyDescent="0.25">
      <c r="A1" t="s">
        <v>20</v>
      </c>
      <c r="B1" t="s">
        <v>223</v>
      </c>
      <c r="D1" t="s">
        <v>121</v>
      </c>
      <c r="E1" t="s">
        <v>223</v>
      </c>
      <c r="G1" t="s">
        <v>28</v>
      </c>
      <c r="H1" t="s">
        <v>223</v>
      </c>
      <c r="J1" t="s">
        <v>25</v>
      </c>
      <c r="K1" t="s">
        <v>223</v>
      </c>
      <c r="M1" t="s">
        <v>67</v>
      </c>
      <c r="N1" t="s">
        <v>223</v>
      </c>
      <c r="P1" t="s">
        <v>324</v>
      </c>
      <c r="R1" t="s">
        <v>235</v>
      </c>
      <c r="S1" t="s">
        <v>223</v>
      </c>
    </row>
    <row r="2" spans="1:19" x14ac:dyDescent="0.25">
      <c r="A2" t="s">
        <v>21</v>
      </c>
      <c r="B2">
        <f>COUNTIF(tblRecords[record_type],A2)</f>
        <v>1</v>
      </c>
      <c r="D2" t="s">
        <v>127</v>
      </c>
      <c r="E2">
        <f>COUNTIF(tblRecords[career_path],D2)</f>
        <v>1</v>
      </c>
      <c r="G2" t="s">
        <v>37</v>
      </c>
      <c r="H2">
        <f>COUNTIF(tblRecords[pii_status],G2)</f>
        <v>3</v>
      </c>
      <c r="J2" t="s">
        <v>19</v>
      </c>
      <c r="K2">
        <f>COUNTIF(tblRecords[include_in_output],J2)</f>
        <v>2</v>
      </c>
      <c r="M2" t="s">
        <v>360</v>
      </c>
      <c r="N2">
        <f>COUNTIF(tblPrompts[output_type],M2)</f>
        <v>1</v>
      </c>
      <c r="P2" t="str" cm="1">
        <f t="array" ref="P2:P6">_xlfn.VSTACK(_xlfn._xlws.FILTER(tblServiceEvaluations[evaluation_record],tblServiceEvaluations[service_branch]=Form!E9,""),_xlfn._xlws.FILTER(tblServiceEvaluations[evaluation_record],tblServiceEvaluations[service_branch]="All Services",""))</f>
        <v>NCOER / OER</v>
      </c>
      <c r="R2" t="s">
        <v>236</v>
      </c>
      <c r="S2">
        <f>COUNTIF(tblRecords[service_branch],R2)</f>
        <v>3</v>
      </c>
    </row>
    <row r="3" spans="1:19" x14ac:dyDescent="0.25">
      <c r="A3" t="s">
        <v>39</v>
      </c>
      <c r="B3">
        <f>COUNTIF(tblRecords[record_type],A3)</f>
        <v>1</v>
      </c>
      <c r="D3" t="s">
        <v>107</v>
      </c>
      <c r="E3">
        <f>COUNTIF(tblRecords[career_path],D3)</f>
        <v>1</v>
      </c>
      <c r="G3" t="s">
        <v>57</v>
      </c>
      <c r="H3">
        <f>COUNTIF(tblRecords[pii_status],G3)</f>
        <v>0</v>
      </c>
      <c r="J3" t="s">
        <v>48</v>
      </c>
      <c r="K3">
        <f>COUNTIF(tblRecords[include_in_output],J3)</f>
        <v>1</v>
      </c>
      <c r="M3" t="s">
        <v>70</v>
      </c>
      <c r="N3">
        <f>COUNTIF(tblPrompts[output_type],M3)</f>
        <v>1</v>
      </c>
      <c r="P3" t="str">
        <v>Award Citation</v>
      </c>
      <c r="R3" t="s">
        <v>241</v>
      </c>
      <c r="S3">
        <f>COUNTIF(tblRecords[service_branch],R3)</f>
        <v>0</v>
      </c>
    </row>
    <row r="4" spans="1:19" x14ac:dyDescent="0.25">
      <c r="A4" t="s">
        <v>49</v>
      </c>
      <c r="B4">
        <f>COUNTIF(tblRecords[record_type],A4)</f>
        <v>1</v>
      </c>
      <c r="D4" t="s">
        <v>171</v>
      </c>
      <c r="E4">
        <f>COUNTIF(tblRecords[career_path],D4)</f>
        <v>0</v>
      </c>
      <c r="G4" t="s">
        <v>228</v>
      </c>
      <c r="H4">
        <f>COUNTIF(tblRecords[pii_status],G4)</f>
        <v>0</v>
      </c>
      <c r="M4" t="s">
        <v>73</v>
      </c>
      <c r="N4">
        <f>COUNTIF(tblPrompts[output_type],M4)</f>
        <v>1</v>
      </c>
      <c r="P4" t="str">
        <v>Academic Evaluation Report</v>
      </c>
      <c r="R4" t="s">
        <v>256</v>
      </c>
      <c r="S4">
        <f>COUNTIF(tblRecords[service_branch],R4)</f>
        <v>0</v>
      </c>
    </row>
    <row r="5" spans="1:19" x14ac:dyDescent="0.25">
      <c r="A5" t="s">
        <v>224</v>
      </c>
      <c r="B5">
        <f>COUNTIF(tblRecords[record_type],A5)</f>
        <v>0</v>
      </c>
      <c r="D5" t="s">
        <v>124</v>
      </c>
      <c r="E5">
        <f>COUNTIF(tblRecords[career_path],D5)</f>
        <v>1</v>
      </c>
      <c r="M5" t="s">
        <v>74</v>
      </c>
      <c r="N5">
        <f>COUNTIF(tblPrompts[output_type],M5)</f>
        <v>1</v>
      </c>
      <c r="P5" t="str">
        <v>Certificate</v>
      </c>
      <c r="R5" t="s">
        <v>269</v>
      </c>
      <c r="S5">
        <f>COUNTIF(tblRecords[service_branch],R5)</f>
        <v>0</v>
      </c>
    </row>
    <row r="6" spans="1:19" x14ac:dyDescent="0.25">
      <c r="A6" t="s">
        <v>225</v>
      </c>
      <c r="B6">
        <f>COUNTIF(tblRecords[record_type],A6)</f>
        <v>0</v>
      </c>
      <c r="M6" t="s">
        <v>77</v>
      </c>
      <c r="N6">
        <f>COUNTIF(tblPrompts[output_type],M6)</f>
        <v>1</v>
      </c>
      <c r="P6" t="str">
        <v>Official Record</v>
      </c>
      <c r="R6" t="s">
        <v>283</v>
      </c>
      <c r="S6">
        <f>COUNTIF(tblRecords[service_branch],R6)</f>
        <v>0</v>
      </c>
    </row>
    <row r="7" spans="1:19" x14ac:dyDescent="0.25">
      <c r="A7" t="s">
        <v>226</v>
      </c>
      <c r="B7">
        <f>COUNTIF(tblRecords[record_type],A7)</f>
        <v>0</v>
      </c>
      <c r="M7" t="s">
        <v>81</v>
      </c>
      <c r="N7">
        <f>COUNTIF(tblPrompts[output_type],M7)</f>
        <v>1</v>
      </c>
      <c r="R7" t="s">
        <v>299</v>
      </c>
      <c r="S7">
        <f>COUNTIF(tblRecords[service_branch],R7)</f>
        <v>0</v>
      </c>
    </row>
    <row r="8" spans="1:19" x14ac:dyDescent="0.25">
      <c r="A8" t="s">
        <v>227</v>
      </c>
      <c r="B8">
        <f>COUNTIF(tblRecords[record_type],A8)</f>
        <v>0</v>
      </c>
      <c r="M8" t="s">
        <v>83</v>
      </c>
      <c r="N8">
        <f>COUNTIF(tblPrompts[output_type],M8)</f>
        <v>1</v>
      </c>
    </row>
    <row r="9" spans="1:19" x14ac:dyDescent="0.25">
      <c r="M9" t="s">
        <v>86</v>
      </c>
      <c r="N9">
        <f>COUNTIF(tblPrompts[output_type],M9)</f>
        <v>1</v>
      </c>
    </row>
    <row r="10" spans="1:19" x14ac:dyDescent="0.25">
      <c r="M10" t="s">
        <v>90</v>
      </c>
      <c r="N10">
        <f>COUNTIF(tblPrompts[output_type],M10)</f>
        <v>1</v>
      </c>
    </row>
    <row r="11" spans="1:19" x14ac:dyDescent="0.25">
      <c r="M11" t="s">
        <v>92</v>
      </c>
      <c r="N11">
        <f>COUNTIF(tblPrompts[output_type],M11)</f>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Start Here</vt:lpstr>
      <vt:lpstr>AI_Agent_Manifest</vt:lpstr>
      <vt:lpstr>Dashboard</vt:lpstr>
      <vt:lpstr>Form</vt:lpstr>
      <vt:lpstr>Generator</vt:lpstr>
      <vt:lpstr>Skills Gap</vt:lpstr>
      <vt:lpstr>Records</vt:lpstr>
      <vt:lpstr>Service Dictionary</vt:lpstr>
      <vt:lpstr>Military_Record_Map</vt:lpstr>
      <vt:lpstr>Civilian_Language_Map</vt:lpstr>
      <vt:lpstr>Skill_Dictionary</vt:lpstr>
      <vt:lpstr>Career Paths</vt:lpstr>
      <vt:lpstr>Role_Architecture</vt:lpstr>
      <vt:lpstr>Persona_Routing_Matrix</vt:lpstr>
      <vt:lpstr>Fellowship_Tracking</vt:lpstr>
      <vt:lpstr>Corporate_Requisition_Map</vt:lpstr>
      <vt:lpstr>Privacy_Guardrails</vt:lpstr>
      <vt:lpstr>Source_Register</vt:lpstr>
      <vt:lpstr>Prompt Library</vt:lpstr>
      <vt:lpstr>Audit Log</vt:lpstr>
      <vt:lpstr>Setup &amp; VBA</vt:lpstr>
      <vt:lpstr>Analytics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William Somerville</dc:creator>
  <cp:lastModifiedBy>William Somerville</cp:lastModifiedBy>
  <dcterms:created xsi:type="dcterms:W3CDTF">2026-08-25T17:02:35Z</dcterms:created>
  <dcterms:modified xsi:type="dcterms:W3CDTF">2026-09-22T18:53:21Z</dcterms:modified>
</cp:coreProperties>
</file>